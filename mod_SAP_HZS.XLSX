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o\Desktop\TESIS\DATA\"/>
    </mc:Choice>
  </mc:AlternateContent>
  <xr:revisionPtr revIDLastSave="0" documentId="13_ncr:1_{E3E65457-7423-49B3-8BAD-B5B8550368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Sheet1!$D$1:$E$465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" i="1" l="1"/>
  <c r="R465" i="1"/>
  <c r="Q465" i="1"/>
  <c r="R464" i="1"/>
  <c r="Q464" i="1"/>
  <c r="R463" i="1"/>
  <c r="S463" i="1" s="1"/>
  <c r="Q463" i="1"/>
  <c r="R462" i="1"/>
  <c r="Q462" i="1"/>
  <c r="R461" i="1"/>
  <c r="Q461" i="1"/>
  <c r="R460" i="1"/>
  <c r="Q460" i="1"/>
  <c r="R459" i="1"/>
  <c r="S459" i="1" s="1"/>
  <c r="Q459" i="1"/>
  <c r="R458" i="1"/>
  <c r="Q458" i="1"/>
  <c r="R457" i="1"/>
  <c r="Q457" i="1"/>
  <c r="S457" i="1" s="1"/>
  <c r="R456" i="1"/>
  <c r="Q456" i="1"/>
  <c r="R455" i="1"/>
  <c r="Q455" i="1"/>
  <c r="R454" i="1"/>
  <c r="Q454" i="1"/>
  <c r="R453" i="1"/>
  <c r="Q453" i="1"/>
  <c r="R452" i="1"/>
  <c r="S452" i="1" s="1"/>
  <c r="Q452" i="1"/>
  <c r="R451" i="1"/>
  <c r="Q451" i="1"/>
  <c r="R450" i="1"/>
  <c r="S450" i="1" s="1"/>
  <c r="Q450" i="1"/>
  <c r="R449" i="1"/>
  <c r="Q449" i="1"/>
  <c r="S449" i="1" s="1"/>
  <c r="R448" i="1"/>
  <c r="Q448" i="1"/>
  <c r="R447" i="1"/>
  <c r="Q447" i="1"/>
  <c r="R446" i="1"/>
  <c r="Q446" i="1"/>
  <c r="R445" i="1"/>
  <c r="Q445" i="1"/>
  <c r="R444" i="1"/>
  <c r="S444" i="1" s="1"/>
  <c r="Q444" i="1"/>
  <c r="R443" i="1"/>
  <c r="Q443" i="1"/>
  <c r="R442" i="1"/>
  <c r="Q442" i="1"/>
  <c r="R441" i="1"/>
  <c r="Q441" i="1"/>
  <c r="R440" i="1"/>
  <c r="Q440" i="1"/>
  <c r="R439" i="1"/>
  <c r="Q439" i="1"/>
  <c r="R438" i="1"/>
  <c r="Q438" i="1"/>
  <c r="R437" i="1"/>
  <c r="Q437" i="1"/>
  <c r="R436" i="1"/>
  <c r="Q436" i="1"/>
  <c r="R435" i="1"/>
  <c r="Q435" i="1"/>
  <c r="R434" i="1"/>
  <c r="Q434" i="1"/>
  <c r="R433" i="1"/>
  <c r="Q433" i="1"/>
  <c r="R432" i="1"/>
  <c r="Q432" i="1"/>
  <c r="R431" i="1"/>
  <c r="Q431" i="1"/>
  <c r="R430" i="1"/>
  <c r="Q430" i="1"/>
  <c r="R429" i="1"/>
  <c r="Q429" i="1"/>
  <c r="R428" i="1"/>
  <c r="S428" i="1" s="1"/>
  <c r="Q428" i="1"/>
  <c r="R427" i="1"/>
  <c r="Q427" i="1"/>
  <c r="R426" i="1"/>
  <c r="Q426" i="1"/>
  <c r="R425" i="1"/>
  <c r="Q425" i="1"/>
  <c r="R424" i="1"/>
  <c r="S424" i="1" s="1"/>
  <c r="Q424" i="1"/>
  <c r="R423" i="1"/>
  <c r="Q423" i="1"/>
  <c r="R422" i="1"/>
  <c r="Q422" i="1"/>
  <c r="R421" i="1"/>
  <c r="Q421" i="1"/>
  <c r="S420" i="1"/>
  <c r="R420" i="1"/>
  <c r="Q420" i="1"/>
  <c r="R419" i="1"/>
  <c r="Q419" i="1"/>
  <c r="R418" i="1"/>
  <c r="Q418" i="1"/>
  <c r="R417" i="1"/>
  <c r="Q417" i="1"/>
  <c r="R416" i="1"/>
  <c r="Q416" i="1"/>
  <c r="R415" i="1"/>
  <c r="Q415" i="1"/>
  <c r="R414" i="1"/>
  <c r="Q414" i="1"/>
  <c r="R413" i="1"/>
  <c r="Q413" i="1"/>
  <c r="R412" i="1"/>
  <c r="S412" i="1" s="1"/>
  <c r="Q412" i="1"/>
  <c r="R411" i="1"/>
  <c r="Q411" i="1"/>
  <c r="R410" i="1"/>
  <c r="S410" i="1" s="1"/>
  <c r="Q410" i="1"/>
  <c r="R409" i="1"/>
  <c r="S409" i="1" s="1"/>
  <c r="Q409" i="1"/>
  <c r="R408" i="1"/>
  <c r="Q408" i="1"/>
  <c r="R407" i="1"/>
  <c r="S407" i="1" s="1"/>
  <c r="Q407" i="1"/>
  <c r="R406" i="1"/>
  <c r="S406" i="1" s="1"/>
  <c r="Q406" i="1"/>
  <c r="R405" i="1"/>
  <c r="S405" i="1" s="1"/>
  <c r="Q405" i="1"/>
  <c r="R404" i="1"/>
  <c r="S404" i="1" s="1"/>
  <c r="Q404" i="1"/>
  <c r="R403" i="1"/>
  <c r="S403" i="1" s="1"/>
  <c r="Q403" i="1"/>
  <c r="R402" i="1"/>
  <c r="Q402" i="1"/>
  <c r="R401" i="1"/>
  <c r="Q401" i="1"/>
  <c r="R400" i="1"/>
  <c r="S400" i="1" s="1"/>
  <c r="Q400" i="1"/>
  <c r="R399" i="1"/>
  <c r="Q399" i="1"/>
  <c r="R398" i="1"/>
  <c r="Q398" i="1"/>
  <c r="R397" i="1"/>
  <c r="Q397" i="1"/>
  <c r="R396" i="1"/>
  <c r="S396" i="1" s="1"/>
  <c r="Q396" i="1"/>
  <c r="S395" i="1"/>
  <c r="R395" i="1"/>
  <c r="Q395" i="1"/>
  <c r="R394" i="1"/>
  <c r="Q394" i="1"/>
  <c r="R393" i="1"/>
  <c r="S393" i="1" s="1"/>
  <c r="Q393" i="1"/>
  <c r="R392" i="1"/>
  <c r="Q392" i="1"/>
  <c r="R391" i="1"/>
  <c r="Q391" i="1"/>
  <c r="R390" i="1"/>
  <c r="Q390" i="1"/>
  <c r="R389" i="1"/>
  <c r="S389" i="1" s="1"/>
  <c r="Q389" i="1"/>
  <c r="R388" i="1"/>
  <c r="S388" i="1" s="1"/>
  <c r="Q388" i="1"/>
  <c r="R387" i="1"/>
  <c r="Q387" i="1"/>
  <c r="R386" i="1"/>
  <c r="S386" i="1" s="1"/>
  <c r="Q386" i="1"/>
  <c r="R385" i="1"/>
  <c r="S385" i="1" s="1"/>
  <c r="Q385" i="1"/>
  <c r="R384" i="1"/>
  <c r="S384" i="1" s="1"/>
  <c r="Q384" i="1"/>
  <c r="R383" i="1"/>
  <c r="Q383" i="1"/>
  <c r="R382" i="1"/>
  <c r="S382" i="1" s="1"/>
  <c r="Q382" i="1"/>
  <c r="R381" i="1"/>
  <c r="S381" i="1" s="1"/>
  <c r="Q381" i="1"/>
  <c r="S380" i="1"/>
  <c r="R380" i="1"/>
  <c r="Q380" i="1"/>
  <c r="R379" i="1"/>
  <c r="Q379" i="1"/>
  <c r="R378" i="1"/>
  <c r="S378" i="1" s="1"/>
  <c r="Q378" i="1"/>
  <c r="R377" i="1"/>
  <c r="Q377" i="1"/>
  <c r="R376" i="1"/>
  <c r="Q376" i="1"/>
  <c r="R375" i="1"/>
  <c r="Q375" i="1"/>
  <c r="R374" i="1"/>
  <c r="S374" i="1" s="1"/>
  <c r="Q374" i="1"/>
  <c r="R373" i="1"/>
  <c r="Q373" i="1"/>
  <c r="R372" i="1"/>
  <c r="Q372" i="1"/>
  <c r="R371" i="1"/>
  <c r="Q371" i="1"/>
  <c r="R370" i="1"/>
  <c r="S370" i="1" s="1"/>
  <c r="Q370" i="1"/>
  <c r="R369" i="1"/>
  <c r="Q369" i="1"/>
  <c r="R368" i="1"/>
  <c r="Q368" i="1"/>
  <c r="R367" i="1"/>
  <c r="Q367" i="1"/>
  <c r="R366" i="1"/>
  <c r="S366" i="1" s="1"/>
  <c r="Q366" i="1"/>
  <c r="R365" i="1"/>
  <c r="Q365" i="1"/>
  <c r="R364" i="1"/>
  <c r="S364" i="1" s="1"/>
  <c r="Q364" i="1"/>
  <c r="R363" i="1"/>
  <c r="S363" i="1" s="1"/>
  <c r="Q363" i="1"/>
  <c r="R362" i="1"/>
  <c r="Q362" i="1"/>
  <c r="R361" i="1"/>
  <c r="Q361" i="1"/>
  <c r="R360" i="1"/>
  <c r="Q360" i="1"/>
  <c r="R359" i="1"/>
  <c r="S359" i="1" s="1"/>
  <c r="Q359" i="1"/>
  <c r="R358" i="1"/>
  <c r="Q358" i="1"/>
  <c r="R357" i="1"/>
  <c r="Q357" i="1"/>
  <c r="R356" i="1"/>
  <c r="S356" i="1" s="1"/>
  <c r="Q356" i="1"/>
  <c r="R355" i="1"/>
  <c r="Q355" i="1"/>
  <c r="S355" i="1" s="1"/>
  <c r="R354" i="1"/>
  <c r="S354" i="1" s="1"/>
  <c r="Q354" i="1"/>
  <c r="R353" i="1"/>
  <c r="S353" i="1" s="1"/>
  <c r="Q353" i="1"/>
  <c r="R352" i="1"/>
  <c r="Q352" i="1"/>
  <c r="R351" i="1"/>
  <c r="Q351" i="1"/>
  <c r="R350" i="1"/>
  <c r="S350" i="1" s="1"/>
  <c r="Q350" i="1"/>
  <c r="R349" i="1"/>
  <c r="S349" i="1" s="1"/>
  <c r="Q349" i="1"/>
  <c r="R348" i="1"/>
  <c r="Q348" i="1"/>
  <c r="S348" i="1" s="1"/>
  <c r="R347" i="1"/>
  <c r="Q347" i="1"/>
  <c r="R346" i="1"/>
  <c r="Q346" i="1"/>
  <c r="R345" i="1"/>
  <c r="Q345" i="1"/>
  <c r="R344" i="1"/>
  <c r="Q344" i="1"/>
  <c r="S344" i="1" s="1"/>
  <c r="R343" i="1"/>
  <c r="Q343" i="1"/>
  <c r="R342" i="1"/>
  <c r="Q342" i="1"/>
  <c r="R341" i="1"/>
  <c r="S341" i="1" s="1"/>
  <c r="Q341" i="1"/>
  <c r="R340" i="1"/>
  <c r="Q340" i="1"/>
  <c r="S339" i="1"/>
  <c r="R339" i="1"/>
  <c r="Q339" i="1"/>
  <c r="R338" i="1"/>
  <c r="Q338" i="1"/>
  <c r="R337" i="1"/>
  <c r="Q337" i="1"/>
  <c r="R336" i="1"/>
  <c r="Q336" i="1"/>
  <c r="S336" i="1" s="1"/>
  <c r="R335" i="1"/>
  <c r="S335" i="1" s="1"/>
  <c r="Q335" i="1"/>
  <c r="R334" i="1"/>
  <c r="Q334" i="1"/>
  <c r="R333" i="1"/>
  <c r="Q333" i="1"/>
  <c r="R332" i="1"/>
  <c r="Q332" i="1"/>
  <c r="R331" i="1"/>
  <c r="Q331" i="1"/>
  <c r="R330" i="1"/>
  <c r="Q330" i="1"/>
  <c r="R329" i="1"/>
  <c r="Q329" i="1"/>
  <c r="R328" i="1"/>
  <c r="Q328" i="1"/>
  <c r="R327" i="1"/>
  <c r="Q327" i="1"/>
  <c r="R326" i="1"/>
  <c r="Q326" i="1"/>
  <c r="R325" i="1"/>
  <c r="Q325" i="1"/>
  <c r="R324" i="1"/>
  <c r="Q324" i="1"/>
  <c r="R323" i="1"/>
  <c r="S323" i="1" s="1"/>
  <c r="Q323" i="1"/>
  <c r="R322" i="1"/>
  <c r="Q322" i="1"/>
  <c r="R321" i="1"/>
  <c r="S321" i="1" s="1"/>
  <c r="Q321" i="1"/>
  <c r="R320" i="1"/>
  <c r="Q320" i="1"/>
  <c r="R319" i="1"/>
  <c r="Q319" i="1"/>
  <c r="R318" i="1"/>
  <c r="Q318" i="1"/>
  <c r="R317" i="1"/>
  <c r="S317" i="1" s="1"/>
  <c r="Q317" i="1"/>
  <c r="R316" i="1"/>
  <c r="Q316" i="1"/>
  <c r="R315" i="1"/>
  <c r="S315" i="1" s="1"/>
  <c r="Q315" i="1"/>
  <c r="R314" i="1"/>
  <c r="Q314" i="1"/>
  <c r="R313" i="1"/>
  <c r="Q313" i="1"/>
  <c r="R312" i="1"/>
  <c r="Q312" i="1"/>
  <c r="R311" i="1"/>
  <c r="Q311" i="1"/>
  <c r="R310" i="1"/>
  <c r="S310" i="1" s="1"/>
  <c r="Q310" i="1"/>
  <c r="R309" i="1"/>
  <c r="Q309" i="1"/>
  <c r="R308" i="1"/>
  <c r="S308" i="1" s="1"/>
  <c r="Q308" i="1"/>
  <c r="R307" i="1"/>
  <c r="Q307" i="1"/>
  <c r="R306" i="1"/>
  <c r="Q306" i="1"/>
  <c r="R305" i="1"/>
  <c r="Q305" i="1"/>
  <c r="R304" i="1"/>
  <c r="Q304" i="1"/>
  <c r="R303" i="1"/>
  <c r="Q303" i="1"/>
  <c r="R302" i="1"/>
  <c r="Q302" i="1"/>
  <c r="R301" i="1"/>
  <c r="Q301" i="1"/>
  <c r="R300" i="1"/>
  <c r="S300" i="1" s="1"/>
  <c r="Q300" i="1"/>
  <c r="R299" i="1"/>
  <c r="Q299" i="1"/>
  <c r="R298" i="1"/>
  <c r="Q298" i="1"/>
  <c r="R297" i="1"/>
  <c r="Q297" i="1"/>
  <c r="R296" i="1"/>
  <c r="S296" i="1" s="1"/>
  <c r="Q296" i="1"/>
  <c r="R295" i="1"/>
  <c r="Q295" i="1"/>
  <c r="R294" i="1"/>
  <c r="Q294" i="1"/>
  <c r="R293" i="1"/>
  <c r="Q293" i="1"/>
  <c r="R292" i="1"/>
  <c r="Q292" i="1"/>
  <c r="R291" i="1"/>
  <c r="Q291" i="1"/>
  <c r="R290" i="1"/>
  <c r="Q290" i="1"/>
  <c r="R289" i="1"/>
  <c r="Q289" i="1"/>
  <c r="R288" i="1"/>
  <c r="Q288" i="1"/>
  <c r="R287" i="1"/>
  <c r="Q287" i="1"/>
  <c r="R286" i="1"/>
  <c r="Q286" i="1"/>
  <c r="R285" i="1"/>
  <c r="Q285" i="1"/>
  <c r="R284" i="1"/>
  <c r="Q284" i="1"/>
  <c r="R283" i="1"/>
  <c r="S283" i="1" s="1"/>
  <c r="Q283" i="1"/>
  <c r="R282" i="1"/>
  <c r="Q282" i="1"/>
  <c r="R281" i="1"/>
  <c r="Q281" i="1"/>
  <c r="R280" i="1"/>
  <c r="Q280" i="1"/>
  <c r="R279" i="1"/>
  <c r="Q279" i="1"/>
  <c r="R278" i="1"/>
  <c r="S278" i="1" s="1"/>
  <c r="Q278" i="1"/>
  <c r="R277" i="1"/>
  <c r="Q277" i="1"/>
  <c r="R276" i="1"/>
  <c r="Q276" i="1"/>
  <c r="R275" i="1"/>
  <c r="S275" i="1" s="1"/>
  <c r="Q275" i="1"/>
  <c r="R274" i="1"/>
  <c r="Q274" i="1"/>
  <c r="R273" i="1"/>
  <c r="Q273" i="1"/>
  <c r="R272" i="1"/>
  <c r="Q272" i="1"/>
  <c r="S272" i="1" s="1"/>
  <c r="R271" i="1"/>
  <c r="S271" i="1" s="1"/>
  <c r="Q271" i="1"/>
  <c r="R270" i="1"/>
  <c r="Q270" i="1"/>
  <c r="R269" i="1"/>
  <c r="Q269" i="1"/>
  <c r="R268" i="1"/>
  <c r="Q268" i="1"/>
  <c r="R267" i="1"/>
  <c r="S267" i="1" s="1"/>
  <c r="Q267" i="1"/>
  <c r="R266" i="1"/>
  <c r="Q266" i="1"/>
  <c r="R265" i="1"/>
  <c r="Q265" i="1"/>
  <c r="R264" i="1"/>
  <c r="Q264" i="1"/>
  <c r="R263" i="1"/>
  <c r="S263" i="1" s="1"/>
  <c r="Q263" i="1"/>
  <c r="R262" i="1"/>
  <c r="Q262" i="1"/>
  <c r="R261" i="1"/>
  <c r="Q261" i="1"/>
  <c r="R260" i="1"/>
  <c r="S260" i="1" s="1"/>
  <c r="Q260" i="1"/>
  <c r="R259" i="1"/>
  <c r="Q259" i="1"/>
  <c r="R258" i="1"/>
  <c r="Q258" i="1"/>
  <c r="R257" i="1"/>
  <c r="Q257" i="1"/>
  <c r="R256" i="1"/>
  <c r="S256" i="1" s="1"/>
  <c r="Q256" i="1"/>
  <c r="R255" i="1"/>
  <c r="Q255" i="1"/>
  <c r="R254" i="1"/>
  <c r="S254" i="1" s="1"/>
  <c r="Q254" i="1"/>
  <c r="R253" i="1"/>
  <c r="Q253" i="1"/>
  <c r="R252" i="1"/>
  <c r="Q252" i="1"/>
  <c r="R251" i="1"/>
  <c r="S251" i="1" s="1"/>
  <c r="Q251" i="1"/>
  <c r="R250" i="1"/>
  <c r="S250" i="1" s="1"/>
  <c r="Q250" i="1"/>
  <c r="R249" i="1"/>
  <c r="Q249" i="1"/>
  <c r="R248" i="1"/>
  <c r="Q248" i="1"/>
  <c r="R247" i="1"/>
  <c r="S247" i="1" s="1"/>
  <c r="Q247" i="1"/>
  <c r="R246" i="1"/>
  <c r="S246" i="1" s="1"/>
  <c r="Q246" i="1"/>
  <c r="R245" i="1"/>
  <c r="Q245" i="1"/>
  <c r="R244" i="1"/>
  <c r="S244" i="1" s="1"/>
  <c r="Q244" i="1"/>
  <c r="R243" i="1"/>
  <c r="S243" i="1" s="1"/>
  <c r="Q243" i="1"/>
  <c r="R242" i="1"/>
  <c r="S242" i="1" s="1"/>
  <c r="Q242" i="1"/>
  <c r="R241" i="1"/>
  <c r="Q241" i="1"/>
  <c r="R240" i="1"/>
  <c r="S240" i="1" s="1"/>
  <c r="Q240" i="1"/>
  <c r="R239" i="1"/>
  <c r="S239" i="1" s="1"/>
  <c r="Q239" i="1"/>
  <c r="R238" i="1"/>
  <c r="S238" i="1" s="1"/>
  <c r="Q238" i="1"/>
  <c r="R237" i="1"/>
  <c r="Q237" i="1"/>
  <c r="R236" i="1"/>
  <c r="Q236" i="1"/>
  <c r="R235" i="1"/>
  <c r="S235" i="1" s="1"/>
  <c r="Q235" i="1"/>
  <c r="R234" i="1"/>
  <c r="Q234" i="1"/>
  <c r="R233" i="1"/>
  <c r="Q233" i="1"/>
  <c r="R232" i="1"/>
  <c r="Q232" i="1"/>
  <c r="R231" i="1"/>
  <c r="S231" i="1" s="1"/>
  <c r="Q231" i="1"/>
  <c r="R230" i="1"/>
  <c r="Q230" i="1"/>
  <c r="R229" i="1"/>
  <c r="Q229" i="1"/>
  <c r="R228" i="1"/>
  <c r="S228" i="1" s="1"/>
  <c r="Q228" i="1"/>
  <c r="R227" i="1"/>
  <c r="S227" i="1" s="1"/>
  <c r="Q227" i="1"/>
  <c r="R226" i="1"/>
  <c r="Q226" i="1"/>
  <c r="R225" i="1"/>
  <c r="Q225" i="1"/>
  <c r="R224" i="1"/>
  <c r="Q224" i="1"/>
  <c r="R223" i="1"/>
  <c r="Q223" i="1"/>
  <c r="R222" i="1"/>
  <c r="Q222" i="1"/>
  <c r="R221" i="1"/>
  <c r="Q221" i="1"/>
  <c r="R220" i="1"/>
  <c r="Q220" i="1"/>
  <c r="S220" i="1" s="1"/>
  <c r="S219" i="1"/>
  <c r="R219" i="1"/>
  <c r="Q219" i="1"/>
  <c r="R218" i="1"/>
  <c r="Q218" i="1"/>
  <c r="R217" i="1"/>
  <c r="S217" i="1" s="1"/>
  <c r="Q217" i="1"/>
  <c r="R216" i="1"/>
  <c r="Q216" i="1"/>
  <c r="R215" i="1"/>
  <c r="S215" i="1" s="1"/>
  <c r="Q215" i="1"/>
  <c r="R214" i="1"/>
  <c r="Q214" i="1"/>
  <c r="R213" i="1"/>
  <c r="S213" i="1" s="1"/>
  <c r="Q213" i="1"/>
  <c r="R212" i="1"/>
  <c r="Q212" i="1"/>
  <c r="R211" i="1"/>
  <c r="S211" i="1" s="1"/>
  <c r="Q211" i="1"/>
  <c r="R210" i="1"/>
  <c r="Q210" i="1"/>
  <c r="R209" i="1"/>
  <c r="Q209" i="1"/>
  <c r="R208" i="1"/>
  <c r="Q208" i="1"/>
  <c r="R207" i="1"/>
  <c r="S207" i="1" s="1"/>
  <c r="Q207" i="1"/>
  <c r="R206" i="1"/>
  <c r="Q206" i="1"/>
  <c r="R205" i="1"/>
  <c r="Q205" i="1"/>
  <c r="R204" i="1"/>
  <c r="Q204" i="1"/>
  <c r="R203" i="1"/>
  <c r="S203" i="1" s="1"/>
  <c r="Q203" i="1"/>
  <c r="R202" i="1"/>
  <c r="Q202" i="1"/>
  <c r="R201" i="1"/>
  <c r="S201" i="1" s="1"/>
  <c r="Q201" i="1"/>
  <c r="R200" i="1"/>
  <c r="Q200" i="1"/>
  <c r="R199" i="1"/>
  <c r="S199" i="1" s="1"/>
  <c r="Q199" i="1"/>
  <c r="R198" i="1"/>
  <c r="Q198" i="1"/>
  <c r="R197" i="1"/>
  <c r="S197" i="1" s="1"/>
  <c r="Q197" i="1"/>
  <c r="R196" i="1"/>
  <c r="S196" i="1" s="1"/>
  <c r="Q196" i="1"/>
  <c r="R195" i="1"/>
  <c r="Q195" i="1"/>
  <c r="R194" i="1"/>
  <c r="Q194" i="1"/>
  <c r="R193" i="1"/>
  <c r="Q193" i="1"/>
  <c r="R192" i="1"/>
  <c r="S192" i="1" s="1"/>
  <c r="Q192" i="1"/>
  <c r="R191" i="1"/>
  <c r="Q191" i="1"/>
  <c r="R190" i="1"/>
  <c r="Q190" i="1"/>
  <c r="R189" i="1"/>
  <c r="Q189" i="1"/>
  <c r="R188" i="1"/>
  <c r="Q188" i="1"/>
  <c r="R187" i="1"/>
  <c r="S187" i="1" s="1"/>
  <c r="Q187" i="1"/>
  <c r="R186" i="1"/>
  <c r="Q186" i="1"/>
  <c r="R185" i="1"/>
  <c r="Q185" i="1"/>
  <c r="R184" i="1"/>
  <c r="Q184" i="1"/>
  <c r="R183" i="1"/>
  <c r="Q183" i="1"/>
  <c r="R182" i="1"/>
  <c r="Q182" i="1"/>
  <c r="R181" i="1"/>
  <c r="Q181" i="1"/>
  <c r="R180" i="1"/>
  <c r="S180" i="1" s="1"/>
  <c r="Q180" i="1"/>
  <c r="R179" i="1"/>
  <c r="Q179" i="1"/>
  <c r="R178" i="1"/>
  <c r="Q178" i="1"/>
  <c r="R177" i="1"/>
  <c r="Q177" i="1"/>
  <c r="R176" i="1"/>
  <c r="S176" i="1" s="1"/>
  <c r="Q176" i="1"/>
  <c r="R175" i="1"/>
  <c r="Q175" i="1"/>
  <c r="R174" i="1"/>
  <c r="Q174" i="1"/>
  <c r="R173" i="1"/>
  <c r="Q173" i="1"/>
  <c r="R172" i="1"/>
  <c r="Q172" i="1"/>
  <c r="R171" i="1"/>
  <c r="Q171" i="1"/>
  <c r="R170" i="1"/>
  <c r="Q170" i="1"/>
  <c r="R169" i="1"/>
  <c r="S169" i="1" s="1"/>
  <c r="Q169" i="1"/>
  <c r="R168" i="1"/>
  <c r="S168" i="1" s="1"/>
  <c r="Q168" i="1"/>
  <c r="R167" i="1"/>
  <c r="Q167" i="1"/>
  <c r="R166" i="1"/>
  <c r="Q166" i="1"/>
  <c r="R165" i="1"/>
  <c r="S165" i="1" s="1"/>
  <c r="Q165" i="1"/>
  <c r="S164" i="1"/>
  <c r="R164" i="1"/>
  <c r="Q164" i="1"/>
  <c r="R163" i="1"/>
  <c r="Q163" i="1"/>
  <c r="R162" i="1"/>
  <c r="Q162" i="1"/>
  <c r="R161" i="1"/>
  <c r="Q161" i="1"/>
  <c r="R160" i="1"/>
  <c r="Q160" i="1"/>
  <c r="R159" i="1"/>
  <c r="Q159" i="1"/>
  <c r="R158" i="1"/>
  <c r="Q158" i="1"/>
  <c r="R157" i="1"/>
  <c r="Q157" i="1"/>
  <c r="R155" i="1"/>
  <c r="S155" i="1" s="1"/>
  <c r="Q155" i="1"/>
  <c r="R154" i="1"/>
  <c r="Q154" i="1"/>
  <c r="R153" i="1"/>
  <c r="S153" i="1" s="1"/>
  <c r="Q153" i="1"/>
  <c r="R152" i="1"/>
  <c r="Q152" i="1"/>
  <c r="R151" i="1"/>
  <c r="Q151" i="1"/>
  <c r="R150" i="1"/>
  <c r="Q150" i="1"/>
  <c r="R149" i="1"/>
  <c r="S149" i="1" s="1"/>
  <c r="Q149" i="1"/>
  <c r="R148" i="1"/>
  <c r="Q148" i="1"/>
  <c r="R147" i="1"/>
  <c r="Q147" i="1"/>
  <c r="R146" i="1"/>
  <c r="Q146" i="1"/>
  <c r="R145" i="1"/>
  <c r="Q145" i="1"/>
  <c r="R144" i="1"/>
  <c r="Q144" i="1"/>
  <c r="R143" i="1"/>
  <c r="Q143" i="1"/>
  <c r="R142" i="1"/>
  <c r="Q142" i="1"/>
  <c r="R141" i="1"/>
  <c r="Q141" i="1"/>
  <c r="R140" i="1"/>
  <c r="Q140" i="1"/>
  <c r="R139" i="1"/>
  <c r="Q139" i="1"/>
  <c r="R138" i="1"/>
  <c r="Q138" i="1"/>
  <c r="R137" i="1"/>
  <c r="S137" i="1" s="1"/>
  <c r="Q137" i="1"/>
  <c r="R136" i="1"/>
  <c r="Q136" i="1"/>
  <c r="R135" i="1"/>
  <c r="Q135" i="1"/>
  <c r="R134" i="1"/>
  <c r="Q134" i="1"/>
  <c r="R133" i="1"/>
  <c r="S133" i="1" s="1"/>
  <c r="Q133" i="1"/>
  <c r="R132" i="1"/>
  <c r="S132" i="1" s="1"/>
  <c r="Q132" i="1"/>
  <c r="R131" i="1"/>
  <c r="S131" i="1" s="1"/>
  <c r="Q131" i="1"/>
  <c r="R130" i="1"/>
  <c r="Q130" i="1"/>
  <c r="R129" i="1"/>
  <c r="S129" i="1" s="1"/>
  <c r="Q129" i="1"/>
  <c r="R128" i="1"/>
  <c r="Q128" i="1"/>
  <c r="R127" i="1"/>
  <c r="Q127" i="1"/>
  <c r="R126" i="1"/>
  <c r="Q126" i="1"/>
  <c r="R125" i="1"/>
  <c r="S125" i="1" s="1"/>
  <c r="Q125" i="1"/>
  <c r="R124" i="1"/>
  <c r="Q124" i="1"/>
  <c r="R123" i="1"/>
  <c r="Q123" i="1"/>
  <c r="S123" i="1" s="1"/>
  <c r="R122" i="1"/>
  <c r="S122" i="1" s="1"/>
  <c r="Q122" i="1"/>
  <c r="R121" i="1"/>
  <c r="Q121" i="1"/>
  <c r="R120" i="1"/>
  <c r="Q120" i="1"/>
  <c r="R119" i="1"/>
  <c r="Q119" i="1"/>
  <c r="R118" i="1"/>
  <c r="S118" i="1" s="1"/>
  <c r="Q118" i="1"/>
  <c r="R117" i="1"/>
  <c r="Q117" i="1"/>
  <c r="R116" i="1"/>
  <c r="Q116" i="1"/>
  <c r="R115" i="1"/>
  <c r="Q115" i="1"/>
  <c r="R114" i="1"/>
  <c r="S114" i="1" s="1"/>
  <c r="Q114" i="1"/>
  <c r="R113" i="1"/>
  <c r="Q113" i="1"/>
  <c r="R112" i="1"/>
  <c r="Q112" i="1"/>
  <c r="R111" i="1"/>
  <c r="Q111" i="1"/>
  <c r="R110" i="1"/>
  <c r="S110" i="1" s="1"/>
  <c r="Q110" i="1"/>
  <c r="R109" i="1"/>
  <c r="Q109" i="1"/>
  <c r="R108" i="1"/>
  <c r="Q108" i="1"/>
  <c r="R107" i="1"/>
  <c r="Q107" i="1"/>
  <c r="R106" i="1"/>
  <c r="Q106" i="1"/>
  <c r="R105" i="1"/>
  <c r="Q105" i="1"/>
  <c r="R104" i="1"/>
  <c r="Q104" i="1"/>
  <c r="R103" i="1"/>
  <c r="Q103" i="1"/>
  <c r="R102" i="1"/>
  <c r="Q102" i="1"/>
  <c r="R101" i="1"/>
  <c r="Q101" i="1"/>
  <c r="R100" i="1"/>
  <c r="S100" i="1" s="1"/>
  <c r="Q100" i="1"/>
  <c r="R99" i="1"/>
  <c r="Q99" i="1"/>
  <c r="R98" i="1"/>
  <c r="S98" i="1" s="1"/>
  <c r="Q98" i="1"/>
  <c r="R97" i="1"/>
  <c r="Q97" i="1"/>
  <c r="R96" i="1"/>
  <c r="S96" i="1" s="1"/>
  <c r="Q96" i="1"/>
  <c r="R95" i="1"/>
  <c r="Q95" i="1"/>
  <c r="R94" i="1"/>
  <c r="S94" i="1" s="1"/>
  <c r="Q94" i="1"/>
  <c r="R93" i="1"/>
  <c r="Q93" i="1"/>
  <c r="R92" i="1"/>
  <c r="Q92" i="1"/>
  <c r="R91" i="1"/>
  <c r="Q91" i="1"/>
  <c r="R90" i="1"/>
  <c r="S90" i="1" s="1"/>
  <c r="Q90" i="1"/>
  <c r="R89" i="1"/>
  <c r="Q89" i="1"/>
  <c r="R88" i="1"/>
  <c r="Q88" i="1"/>
  <c r="R87" i="1"/>
  <c r="Q87" i="1"/>
  <c r="R86" i="1"/>
  <c r="S86" i="1" s="1"/>
  <c r="Q86" i="1"/>
  <c r="R85" i="1"/>
  <c r="Q85" i="1"/>
  <c r="R84" i="1"/>
  <c r="S84" i="1" s="1"/>
  <c r="Q84" i="1"/>
  <c r="R83" i="1"/>
  <c r="Q83" i="1"/>
  <c r="R82" i="1"/>
  <c r="S82" i="1" s="1"/>
  <c r="Q82" i="1"/>
  <c r="R81" i="1"/>
  <c r="Q81" i="1"/>
  <c r="R80" i="1"/>
  <c r="S80" i="1" s="1"/>
  <c r="Q80" i="1"/>
  <c r="R79" i="1"/>
  <c r="Q79" i="1"/>
  <c r="R78" i="1"/>
  <c r="S78" i="1" s="1"/>
  <c r="Q78" i="1"/>
  <c r="R77" i="1"/>
  <c r="Q77" i="1"/>
  <c r="R76" i="1"/>
  <c r="Q76" i="1"/>
  <c r="R75" i="1"/>
  <c r="Q75" i="1"/>
  <c r="R74" i="1"/>
  <c r="Q74" i="1"/>
  <c r="R73" i="1"/>
  <c r="Q73" i="1"/>
  <c r="R72" i="1"/>
  <c r="Q72" i="1"/>
  <c r="R71" i="1"/>
  <c r="Q71" i="1"/>
  <c r="R70" i="1"/>
  <c r="Q70" i="1"/>
  <c r="R69" i="1"/>
  <c r="Q69" i="1"/>
  <c r="R68" i="1"/>
  <c r="Q68" i="1"/>
  <c r="R66" i="1"/>
  <c r="Q66" i="1"/>
  <c r="R65" i="1"/>
  <c r="S65" i="1" s="1"/>
  <c r="Q65" i="1"/>
  <c r="R64" i="1"/>
  <c r="Q64" i="1"/>
  <c r="R63" i="1"/>
  <c r="Q63" i="1"/>
  <c r="R62" i="1"/>
  <c r="Q62" i="1"/>
  <c r="R61" i="1"/>
  <c r="S61" i="1" s="1"/>
  <c r="Q61" i="1"/>
  <c r="R60" i="1"/>
  <c r="Q60" i="1"/>
  <c r="S60" i="1" s="1"/>
  <c r="S59" i="1"/>
  <c r="R59" i="1"/>
  <c r="Q59" i="1"/>
  <c r="R58" i="1"/>
  <c r="Q58" i="1"/>
  <c r="R57" i="1"/>
  <c r="S57" i="1" s="1"/>
  <c r="Q57" i="1"/>
  <c r="R56" i="1"/>
  <c r="Q56" i="1"/>
  <c r="R55" i="1"/>
  <c r="S55" i="1" s="1"/>
  <c r="Q55" i="1"/>
  <c r="R54" i="1"/>
  <c r="Q54" i="1"/>
  <c r="R53" i="1"/>
  <c r="S53" i="1" s="1"/>
  <c r="Q53" i="1"/>
  <c r="R52" i="1"/>
  <c r="S52" i="1" s="1"/>
  <c r="Q52" i="1"/>
  <c r="R51" i="1"/>
  <c r="S51" i="1" s="1"/>
  <c r="Q51" i="1"/>
  <c r="R50" i="1"/>
  <c r="Q50" i="1"/>
  <c r="R49" i="1"/>
  <c r="Q49" i="1"/>
  <c r="R48" i="1"/>
  <c r="S48" i="1" s="1"/>
  <c r="Q48" i="1"/>
  <c r="R47" i="1"/>
  <c r="S47" i="1" s="1"/>
  <c r="Q47" i="1"/>
  <c r="R46" i="1"/>
  <c r="Q46" i="1"/>
  <c r="R45" i="1"/>
  <c r="Q45" i="1"/>
  <c r="S44" i="1"/>
  <c r="R44" i="1"/>
  <c r="Q44" i="1"/>
  <c r="R43" i="1"/>
  <c r="Q43" i="1"/>
  <c r="R42" i="1"/>
  <c r="Q42" i="1"/>
  <c r="R41" i="1"/>
  <c r="Q41" i="1"/>
  <c r="R40" i="1"/>
  <c r="S40" i="1" s="1"/>
  <c r="Q40" i="1"/>
  <c r="R39" i="1"/>
  <c r="Q39" i="1"/>
  <c r="R38" i="1"/>
  <c r="Q38" i="1"/>
  <c r="R37" i="1"/>
  <c r="Q37" i="1"/>
  <c r="S36" i="1"/>
  <c r="R36" i="1"/>
  <c r="Q36" i="1"/>
  <c r="R35" i="1"/>
  <c r="Q35" i="1"/>
  <c r="R34" i="1"/>
  <c r="S34" i="1" s="1"/>
  <c r="Q34" i="1"/>
  <c r="R33" i="1"/>
  <c r="S33" i="1" s="1"/>
  <c r="Q33" i="1"/>
  <c r="R32" i="1"/>
  <c r="S32" i="1" s="1"/>
  <c r="Q32" i="1"/>
  <c r="R31" i="1"/>
  <c r="Q31" i="1"/>
  <c r="R30" i="1"/>
  <c r="S30" i="1" s="1"/>
  <c r="Q30" i="1"/>
  <c r="R29" i="1"/>
  <c r="S29" i="1" s="1"/>
  <c r="Q29" i="1"/>
  <c r="R28" i="1"/>
  <c r="Q28" i="1"/>
  <c r="R27" i="1"/>
  <c r="Q27" i="1"/>
  <c r="R26" i="1"/>
  <c r="Q26" i="1"/>
  <c r="R25" i="1"/>
  <c r="S25" i="1" s="1"/>
  <c r="Q25" i="1"/>
  <c r="R24" i="1"/>
  <c r="Q24" i="1"/>
  <c r="R23" i="1"/>
  <c r="Q23" i="1"/>
  <c r="R22" i="1"/>
  <c r="Q22" i="1"/>
  <c r="R21" i="1"/>
  <c r="S21" i="1" s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S12" i="1" s="1"/>
  <c r="Q12" i="1"/>
  <c r="R11" i="1"/>
  <c r="Q11" i="1"/>
  <c r="R10" i="1"/>
  <c r="Q10" i="1"/>
  <c r="R9" i="1"/>
  <c r="S9" i="1" s="1"/>
  <c r="Q9" i="1"/>
  <c r="R8" i="1"/>
  <c r="Q8" i="1"/>
  <c r="R7" i="1"/>
  <c r="Q7" i="1"/>
  <c r="R6" i="1"/>
  <c r="Q6" i="1"/>
  <c r="R5" i="1"/>
  <c r="S5" i="1" s="1"/>
  <c r="Q5" i="1"/>
  <c r="R4" i="1"/>
  <c r="S4" i="1" s="1"/>
  <c r="Q4" i="1"/>
  <c r="R3" i="1"/>
  <c r="Q3" i="1"/>
  <c r="S101" i="1" l="1"/>
  <c r="S105" i="1"/>
  <c r="S117" i="1"/>
  <c r="S121" i="1"/>
  <c r="S144" i="1"/>
  <c r="S148" i="1"/>
  <c r="S157" i="1"/>
  <c r="S161" i="1"/>
  <c r="S200" i="1"/>
  <c r="S208" i="1"/>
  <c r="S212" i="1"/>
  <c r="S291" i="1"/>
  <c r="S307" i="1"/>
  <c r="S342" i="1"/>
  <c r="S346" i="1"/>
  <c r="S423" i="1"/>
  <c r="S427" i="1"/>
  <c r="S443" i="1"/>
  <c r="S458" i="1"/>
  <c r="S181" i="1"/>
  <c r="S185" i="1"/>
  <c r="S292" i="1"/>
  <c r="S440" i="1"/>
  <c r="S451" i="1"/>
  <c r="S7" i="1"/>
  <c r="S19" i="1"/>
  <c r="S23" i="1"/>
  <c r="S27" i="1"/>
  <c r="S174" i="1"/>
  <c r="S178" i="1"/>
  <c r="S182" i="1"/>
  <c r="S190" i="1"/>
  <c r="S194" i="1"/>
  <c r="S221" i="1"/>
  <c r="S225" i="1"/>
  <c r="S261" i="1"/>
  <c r="S316" i="1"/>
  <c r="S324" i="1"/>
  <c r="S11" i="1"/>
  <c r="S15" i="1"/>
  <c r="S71" i="1"/>
  <c r="S75" i="1"/>
  <c r="S79" i="1"/>
  <c r="S83" i="1"/>
  <c r="S87" i="1"/>
  <c r="S91" i="1"/>
  <c r="S103" i="1"/>
  <c r="S107" i="1"/>
  <c r="S111" i="1"/>
  <c r="S115" i="1"/>
  <c r="S119" i="1"/>
  <c r="S142" i="1"/>
  <c r="S146" i="1"/>
  <c r="S150" i="1"/>
  <c r="S163" i="1"/>
  <c r="S285" i="1"/>
  <c r="S289" i="1"/>
  <c r="S421" i="1"/>
  <c r="S425" i="1"/>
  <c r="S441" i="1"/>
  <c r="S445" i="1"/>
  <c r="S460" i="1"/>
  <c r="S68" i="1"/>
  <c r="S108" i="1"/>
  <c r="S290" i="1"/>
  <c r="S298" i="1"/>
  <c r="S306" i="1"/>
  <c r="S124" i="1"/>
  <c r="S330" i="1"/>
  <c r="S338" i="1"/>
  <c r="S426" i="1"/>
  <c r="S434" i="1"/>
  <c r="S442" i="1"/>
  <c r="S3" i="1"/>
  <c r="S14" i="1"/>
  <c r="S18" i="1"/>
  <c r="S22" i="1"/>
  <c r="S26" i="1"/>
  <c r="S37" i="1"/>
  <c r="S41" i="1"/>
  <c r="S64" i="1"/>
  <c r="S76" i="1"/>
  <c r="S99" i="1"/>
  <c r="S126" i="1"/>
  <c r="S130" i="1"/>
  <c r="S158" i="1"/>
  <c r="S162" i="1"/>
  <c r="S189" i="1"/>
  <c r="S193" i="1"/>
  <c r="S236" i="1"/>
  <c r="S248" i="1"/>
  <c r="S259" i="1"/>
  <c r="S332" i="1"/>
  <c r="S347" i="1"/>
  <c r="S373" i="1"/>
  <c r="S377" i="1"/>
  <c r="S392" i="1"/>
  <c r="S399" i="1"/>
  <c r="S414" i="1"/>
  <c r="S418" i="1"/>
  <c r="S433" i="1"/>
  <c r="S437" i="1"/>
  <c r="S448" i="1"/>
  <c r="S455" i="1"/>
  <c r="S92" i="1"/>
  <c r="S154" i="1"/>
  <c r="S186" i="1"/>
  <c r="S252" i="1"/>
  <c r="S340" i="1"/>
  <c r="S411" i="1"/>
  <c r="S419" i="1"/>
  <c r="S322" i="1"/>
  <c r="S8" i="1"/>
  <c r="S35" i="1"/>
  <c r="S46" i="1"/>
  <c r="S50" i="1"/>
  <c r="S54" i="1"/>
  <c r="S58" i="1"/>
  <c r="S69" i="1"/>
  <c r="S73" i="1"/>
  <c r="S85" i="1"/>
  <c r="S89" i="1"/>
  <c r="S112" i="1"/>
  <c r="S116" i="1"/>
  <c r="S135" i="1"/>
  <c r="S139" i="1"/>
  <c r="S143" i="1"/>
  <c r="S147" i="1"/>
  <c r="S151" i="1"/>
  <c r="S167" i="1"/>
  <c r="S171" i="1"/>
  <c r="S175" i="1"/>
  <c r="S179" i="1"/>
  <c r="S183" i="1"/>
  <c r="S206" i="1"/>
  <c r="S210" i="1"/>
  <c r="S214" i="1"/>
  <c r="S218" i="1"/>
  <c r="S229" i="1"/>
  <c r="S233" i="1"/>
  <c r="S245" i="1"/>
  <c r="S249" i="1"/>
  <c r="S268" i="1"/>
  <c r="S276" i="1"/>
  <c r="S299" i="1"/>
  <c r="S303" i="1"/>
  <c r="S16" i="1"/>
  <c r="S20" i="1"/>
  <c r="S28" i="1"/>
  <c r="S39" i="1"/>
  <c r="S43" i="1"/>
  <c r="S62" i="1"/>
  <c r="S66" i="1"/>
  <c r="S93" i="1"/>
  <c r="S97" i="1"/>
  <c r="S128" i="1"/>
  <c r="S140" i="1"/>
  <c r="S152" i="1"/>
  <c r="S172" i="1"/>
  <c r="S195" i="1"/>
  <c r="S222" i="1"/>
  <c r="S226" i="1"/>
  <c r="S253" i="1"/>
  <c r="S257" i="1"/>
  <c r="S284" i="1"/>
  <c r="S367" i="1"/>
  <c r="S371" i="1"/>
  <c r="S375" i="1"/>
  <c r="S379" i="1"/>
  <c r="S387" i="1"/>
  <c r="S416" i="1"/>
  <c r="S431" i="1"/>
  <c r="S435" i="1"/>
  <c r="S439" i="1"/>
  <c r="S446" i="1"/>
  <c r="S453" i="1"/>
  <c r="S188" i="1"/>
  <c r="S331" i="1"/>
  <c r="S56" i="1"/>
  <c r="S204" i="1"/>
  <c r="S216" i="1"/>
  <c r="S266" i="1"/>
  <c r="S274" i="1"/>
  <c r="S357" i="1"/>
  <c r="S361" i="1"/>
  <c r="S368" i="1"/>
  <c r="S372" i="1"/>
  <c r="S391" i="1"/>
  <c r="S398" i="1"/>
  <c r="S402" i="1"/>
  <c r="S413" i="1"/>
  <c r="S417" i="1"/>
  <c r="S436" i="1"/>
  <c r="S10" i="1"/>
  <c r="S42" i="1"/>
  <c r="S70" i="1"/>
  <c r="S109" i="1"/>
  <c r="S145" i="1"/>
  <c r="S160" i="1"/>
  <c r="S224" i="1"/>
  <c r="S351" i="1"/>
  <c r="S358" i="1"/>
  <c r="S362" i="1"/>
  <c r="S365" i="1"/>
  <c r="S369" i="1"/>
  <c r="S376" i="1"/>
  <c r="S383" i="1"/>
  <c r="S390" i="1"/>
  <c r="S394" i="1"/>
  <c r="S397" i="1"/>
  <c r="S401" i="1"/>
  <c r="S408" i="1"/>
  <c r="S415" i="1"/>
  <c r="S422" i="1"/>
  <c r="S430" i="1"/>
  <c r="S462" i="1"/>
  <c r="S13" i="1"/>
  <c r="S24" i="1"/>
  <c r="S45" i="1"/>
  <c r="S63" i="1"/>
  <c r="S77" i="1"/>
  <c r="S106" i="1"/>
  <c r="S270" i="1"/>
  <c r="S277" i="1"/>
  <c r="S281" i="1"/>
  <c r="S288" i="1"/>
  <c r="S295" i="1"/>
  <c r="S302" i="1"/>
  <c r="S309" i="1"/>
  <c r="S313" i="1"/>
  <c r="S320" i="1"/>
  <c r="S327" i="1"/>
  <c r="S334" i="1"/>
  <c r="S345" i="1"/>
  <c r="S352" i="1"/>
  <c r="S17" i="1"/>
  <c r="S31" i="1"/>
  <c r="S38" i="1"/>
  <c r="S74" i="1"/>
  <c r="S88" i="1"/>
  <c r="S102" i="1"/>
  <c r="S127" i="1"/>
  <c r="S72" i="1"/>
  <c r="S104" i="1"/>
  <c r="S136" i="1"/>
  <c r="S232" i="1"/>
  <c r="S264" i="1"/>
  <c r="S282" i="1"/>
  <c r="S314" i="1"/>
  <c r="S328" i="1"/>
  <c r="S438" i="1"/>
  <c r="S456" i="1"/>
  <c r="S360" i="1"/>
  <c r="S258" i="1"/>
  <c r="S432" i="1"/>
  <c r="S464" i="1"/>
  <c r="S265" i="1"/>
  <c r="S279" i="1"/>
  <c r="S286" i="1"/>
  <c r="S293" i="1"/>
  <c r="S297" i="1"/>
  <c r="S304" i="1"/>
  <c r="S311" i="1"/>
  <c r="S318" i="1"/>
  <c r="S325" i="1"/>
  <c r="S329" i="1"/>
  <c r="S343" i="1"/>
  <c r="S6" i="1"/>
  <c r="S49" i="1"/>
  <c r="S81" i="1"/>
  <c r="S95" i="1"/>
  <c r="S113" i="1"/>
  <c r="S120" i="1"/>
  <c r="S134" i="1"/>
  <c r="S138" i="1"/>
  <c r="S141" i="1"/>
  <c r="S159" i="1"/>
  <c r="S166" i="1"/>
  <c r="S170" i="1"/>
  <c r="S173" i="1"/>
  <c r="S177" i="1"/>
  <c r="S184" i="1"/>
  <c r="S191" i="1"/>
  <c r="S198" i="1"/>
  <c r="S202" i="1"/>
  <c r="S205" i="1"/>
  <c r="S209" i="1"/>
  <c r="S223" i="1"/>
  <c r="S230" i="1"/>
  <c r="S234" i="1"/>
  <c r="S237" i="1"/>
  <c r="S241" i="1"/>
  <c r="S255" i="1"/>
  <c r="S262" i="1"/>
  <c r="S269" i="1"/>
  <c r="S273" i="1"/>
  <c r="S280" i="1"/>
  <c r="S287" i="1"/>
  <c r="S294" i="1"/>
  <c r="S301" i="1"/>
  <c r="S305" i="1"/>
  <c r="S312" i="1"/>
  <c r="S319" i="1"/>
  <c r="S326" i="1"/>
  <c r="S333" i="1"/>
  <c r="S337" i="1"/>
  <c r="S429" i="1"/>
  <c r="S447" i="1"/>
  <c r="S454" i="1"/>
  <c r="S461" i="1"/>
  <c r="S465" i="1"/>
</calcChain>
</file>

<file path=xl/sharedStrings.xml><?xml version="1.0" encoding="utf-8"?>
<sst xmlns="http://schemas.openxmlformats.org/spreadsheetml/2006/main" count="2502" uniqueCount="1270">
  <si>
    <t/>
  </si>
  <si>
    <t>10081405</t>
  </si>
  <si>
    <t>4069552</t>
  </si>
  <si>
    <t>FP01</t>
  </si>
  <si>
    <t>C/P PE  60 MM 101/2CM*50*100</t>
  </si>
  <si>
    <t>T-MCN01</t>
  </si>
  <si>
    <t>10082442</t>
  </si>
  <si>
    <t>4070590</t>
  </si>
  <si>
    <t>C/P PE/5MM*10 1/2*50*100</t>
  </si>
  <si>
    <t>10081830</t>
  </si>
  <si>
    <t>4070818</t>
  </si>
  <si>
    <t>FALLAS  A LO ALTO</t>
  </si>
  <si>
    <t>10080090</t>
  </si>
  <si>
    <t>4070858</t>
  </si>
  <si>
    <t>Rev. Lpza. y ajuste tablero electrico</t>
  </si>
  <si>
    <t>T-ELE01</t>
  </si>
  <si>
    <t>10083300</t>
  </si>
  <si>
    <t>4071234</t>
  </si>
  <si>
    <t>CAMBIO DE FORRO DE METALICO.</t>
  </si>
  <si>
    <t>10083388</t>
  </si>
  <si>
    <t>4071452</t>
  </si>
  <si>
    <t>Telar 57 - Mantenimiento</t>
  </si>
  <si>
    <t>10084459</t>
  </si>
  <si>
    <t>4072375</t>
  </si>
  <si>
    <t>TAMAÑO DE MALLA VARIADA</t>
  </si>
  <si>
    <t>10084481</t>
  </si>
  <si>
    <t>4072377</t>
  </si>
  <si>
    <t>T-57:BAJAR TAMAÑO DE MALLA</t>
  </si>
  <si>
    <t>10085328</t>
  </si>
  <si>
    <t>4073432</t>
  </si>
  <si>
    <t>Telar 57-Para constantemente</t>
  </si>
  <si>
    <t>10085956</t>
  </si>
  <si>
    <t>4073835</t>
  </si>
  <si>
    <t>PIÑON DE AVANCE DE MALLA SUELTO</t>
  </si>
  <si>
    <t>10083514</t>
  </si>
  <si>
    <t>4074100</t>
  </si>
  <si>
    <t>CAMBIO DE FORRO DE RODILLO</t>
  </si>
  <si>
    <t>10086621</t>
  </si>
  <si>
    <t>4074467</t>
  </si>
  <si>
    <t>CAMBIO DE PRODUCCION</t>
  </si>
  <si>
    <t>10086782</t>
  </si>
  <si>
    <t>4074500</t>
  </si>
  <si>
    <t>10086799</t>
  </si>
  <si>
    <t>4074564</t>
  </si>
  <si>
    <t>CAMBIO PRODUCCION - 128*4 1/4*100*120</t>
  </si>
  <si>
    <t>10086880</t>
  </si>
  <si>
    <t>4074636</t>
  </si>
  <si>
    <t>PAÑO FLOJO EN SALIDA</t>
  </si>
  <si>
    <t>10086902</t>
  </si>
  <si>
    <t>4074688</t>
  </si>
  <si>
    <t>T-57:Revisar rodillo botador de paño</t>
  </si>
  <si>
    <t>10086942</t>
  </si>
  <si>
    <t>4074689</t>
  </si>
  <si>
    <t>PAÑO SE CUELGA</t>
  </si>
  <si>
    <t>10086987</t>
  </si>
  <si>
    <t>4074713</t>
  </si>
  <si>
    <t>T-57:Variación de tamaño de malla</t>
  </si>
  <si>
    <t>10087237</t>
  </si>
  <si>
    <t>4075042</t>
  </si>
  <si>
    <t>Regulacion de malla de 257mm a 260mm.</t>
  </si>
  <si>
    <t>10087338</t>
  </si>
  <si>
    <t>4075186</t>
  </si>
  <si>
    <t>Variación de tamaño de malla.</t>
  </si>
  <si>
    <t>10087374</t>
  </si>
  <si>
    <t>4075187</t>
  </si>
  <si>
    <t>10087537</t>
  </si>
  <si>
    <t>4075223</t>
  </si>
  <si>
    <t>No hace lazo en todo el alto.</t>
  </si>
  <si>
    <t>10087388</t>
  </si>
  <si>
    <t>4075424</t>
  </si>
  <si>
    <t>FORRO DE RODILLO DESGASTADO</t>
  </si>
  <si>
    <t>10088414</t>
  </si>
  <si>
    <t>4075940</t>
  </si>
  <si>
    <t>NO JALA HILOS DE URDIMBRE</t>
  </si>
  <si>
    <t>10089015</t>
  </si>
  <si>
    <t>4076350</t>
  </si>
  <si>
    <t>CAMBIO DE PRODUCCION :</t>
  </si>
  <si>
    <t>10089212</t>
  </si>
  <si>
    <t>4076537</t>
  </si>
  <si>
    <t>BOTONERA DE PULSADOR NO FUNCIONA</t>
  </si>
  <si>
    <t>10089407</t>
  </si>
  <si>
    <t>4076569</t>
  </si>
  <si>
    <t>FP02</t>
  </si>
  <si>
    <t>Cambio liquido freno cilindros maestros</t>
  </si>
  <si>
    <t>10090377</t>
  </si>
  <si>
    <t>4077213</t>
  </si>
  <si>
    <t>Pasar nudos de urdimbre.</t>
  </si>
  <si>
    <t>10090460</t>
  </si>
  <si>
    <t>4077301</t>
  </si>
  <si>
    <t>Cambio de produccion.</t>
  </si>
  <si>
    <t>10091153</t>
  </si>
  <si>
    <t>4077748</t>
  </si>
  <si>
    <t>Camb. forro de rodillo avance de malla.</t>
  </si>
  <si>
    <t>10091451</t>
  </si>
  <si>
    <t>4078041</t>
  </si>
  <si>
    <t>10091653</t>
  </si>
  <si>
    <t>4078293</t>
  </si>
  <si>
    <t>Tension alta.</t>
  </si>
  <si>
    <t>10091937</t>
  </si>
  <si>
    <t>4078332</t>
  </si>
  <si>
    <t>Tamaño de malla varia.</t>
  </si>
  <si>
    <t>10092350</t>
  </si>
  <si>
    <t>4078679</t>
  </si>
  <si>
    <t>10091725</t>
  </si>
  <si>
    <t>4078779</t>
  </si>
  <si>
    <t>Brazo de angulo inferior con sonido extr</t>
  </si>
  <si>
    <t>10094639</t>
  </si>
  <si>
    <t>4080260</t>
  </si>
  <si>
    <t>MP Cambio aceite reductor</t>
  </si>
  <si>
    <t>10094640</t>
  </si>
  <si>
    <t>4080263</t>
  </si>
  <si>
    <t>CMP Insp. ganchos inferiores</t>
  </si>
  <si>
    <t>10094631</t>
  </si>
  <si>
    <t>4080651</t>
  </si>
  <si>
    <t>C/P: 210/352X3 1/2X122X60</t>
  </si>
  <si>
    <t>10094536</t>
  </si>
  <si>
    <t>4080660</t>
  </si>
  <si>
    <t>C/P: 210/360X3 1/2X30X100</t>
  </si>
  <si>
    <t>10095708</t>
  </si>
  <si>
    <t>4081131</t>
  </si>
  <si>
    <t>Cambio de recub. rod. avance de malla</t>
  </si>
  <si>
    <t>10097826</t>
  </si>
  <si>
    <t>4084861</t>
  </si>
  <si>
    <t>C/P: 210/240X3 1/2X122X50</t>
  </si>
  <si>
    <t>10101051</t>
  </si>
  <si>
    <t>4085847</t>
  </si>
  <si>
    <t>Tamaño de malla grande.</t>
  </si>
  <si>
    <t>10100758</t>
  </si>
  <si>
    <t>4085880</t>
  </si>
  <si>
    <t>C/P: PE 4.0MMX4X100X500MA</t>
  </si>
  <si>
    <t>10088904</t>
  </si>
  <si>
    <t>4086247</t>
  </si>
  <si>
    <t>Tension baja.</t>
  </si>
  <si>
    <t>10101645</t>
  </si>
  <si>
    <t>4086504</t>
  </si>
  <si>
    <t>MP Avance y salida de malla</t>
  </si>
  <si>
    <t>10089409</t>
  </si>
  <si>
    <t>4086522</t>
  </si>
  <si>
    <t>10091505</t>
  </si>
  <si>
    <t>4087073</t>
  </si>
  <si>
    <t>10092885</t>
  </si>
  <si>
    <t>4087212</t>
  </si>
  <si>
    <t>Rotura de perno de rodillo botador de pa</t>
  </si>
  <si>
    <t>10093059</t>
  </si>
  <si>
    <t>4087233</t>
  </si>
  <si>
    <t>Paño se cuelga.</t>
  </si>
  <si>
    <t>10103098</t>
  </si>
  <si>
    <t>4088088</t>
  </si>
  <si>
    <t>10103991</t>
  </si>
  <si>
    <t>4088327</t>
  </si>
  <si>
    <t>TE FABRICACIÓN DE BANDEJA DE RESINA</t>
  </si>
  <si>
    <t>10104029</t>
  </si>
  <si>
    <t>4088449</t>
  </si>
  <si>
    <t>10101560</t>
  </si>
  <si>
    <t>4089004</t>
  </si>
  <si>
    <t>Sacar paño de maquina.</t>
  </si>
  <si>
    <t>10101202</t>
  </si>
  <si>
    <t>4089005</t>
  </si>
  <si>
    <t>Nudos flojos.</t>
  </si>
  <si>
    <t>10094575</t>
  </si>
  <si>
    <t>4089006</t>
  </si>
  <si>
    <t>Paño descuadrado por pesas.</t>
  </si>
  <si>
    <t>10094556</t>
  </si>
  <si>
    <t>4089007</t>
  </si>
  <si>
    <t>Pasar nudos.</t>
  </si>
  <si>
    <t>10094451</t>
  </si>
  <si>
    <t>4089008</t>
  </si>
  <si>
    <t>Rodillo descalibrado.</t>
  </si>
  <si>
    <t>10104874</t>
  </si>
  <si>
    <t>4089982</t>
  </si>
  <si>
    <t>FALTA TRAMA</t>
  </si>
  <si>
    <t>10105894</t>
  </si>
  <si>
    <t>4091266</t>
  </si>
  <si>
    <t>SE SUBIÓ LA TENSIÓN</t>
  </si>
  <si>
    <t>10106464</t>
  </si>
  <si>
    <t>4091269</t>
  </si>
  <si>
    <t>MP Insp mecanica general</t>
  </si>
  <si>
    <t>10107776</t>
  </si>
  <si>
    <t>4093095</t>
  </si>
  <si>
    <t>AJUSTAR RODILLOS DE BOTADOR DE PAÑO</t>
  </si>
  <si>
    <t>10107561</t>
  </si>
  <si>
    <t>4093892</t>
  </si>
  <si>
    <t>SACAR EL PAÑO DE LA MÁQUINA</t>
  </si>
  <si>
    <t>10110540</t>
  </si>
  <si>
    <t>4094333</t>
  </si>
  <si>
    <t>ROTURA DE BRAZO DE TRAMA LADO DERECHO</t>
  </si>
  <si>
    <t>10110851</t>
  </si>
  <si>
    <t>4094751</t>
  </si>
  <si>
    <t>PIQUETEO Y PELUSEO</t>
  </si>
  <si>
    <t>10110645</t>
  </si>
  <si>
    <t>4094889</t>
  </si>
  <si>
    <t>ROTURA DEL BRAZO DE REGULACION</t>
  </si>
  <si>
    <t>10112436</t>
  </si>
  <si>
    <t>4095585</t>
  </si>
  <si>
    <t>BOTONERA PARADA DE EMERGENCIA DAÑADA</t>
  </si>
  <si>
    <t>10112118</t>
  </si>
  <si>
    <t>4096039</t>
  </si>
  <si>
    <t>SONIDO EXTRAÑO EN LA MÁQUINA</t>
  </si>
  <si>
    <t>10112032</t>
  </si>
  <si>
    <t>4096040</t>
  </si>
  <si>
    <t>10111842</t>
  </si>
  <si>
    <t>4096041</t>
  </si>
  <si>
    <t>REGULAR FRENO DE CAIDA DE BARRA, REGULAR</t>
  </si>
  <si>
    <t>10111565</t>
  </si>
  <si>
    <t>4096042</t>
  </si>
  <si>
    <t>PELUCEO</t>
  </si>
  <si>
    <t>10111148</t>
  </si>
  <si>
    <t>4096044</t>
  </si>
  <si>
    <t>10111750</t>
  </si>
  <si>
    <t>4096045</t>
  </si>
  <si>
    <t>TENSION ALTA</t>
  </si>
  <si>
    <t>10110822</t>
  </si>
  <si>
    <t>4096046</t>
  </si>
  <si>
    <t>LANZADERAS GASTADAS EN VARIAS POSICIONES</t>
  </si>
  <si>
    <t>10110949</t>
  </si>
  <si>
    <t>4096047</t>
  </si>
  <si>
    <t>SE SALIO RODAMIENTO DE LEVA</t>
  </si>
  <si>
    <t>10111321</t>
  </si>
  <si>
    <t>4096048</t>
  </si>
  <si>
    <t>10113294</t>
  </si>
  <si>
    <t>4096181</t>
  </si>
  <si>
    <t>Instalacion bandeja de resina</t>
  </si>
  <si>
    <t>10113749</t>
  </si>
  <si>
    <t>4096422</t>
  </si>
  <si>
    <t>Instalar brazo de alimentación de trama</t>
  </si>
  <si>
    <t>10113827</t>
  </si>
  <si>
    <t>4096481</t>
  </si>
  <si>
    <t>Fabricación de bandeja de resina.</t>
  </si>
  <si>
    <t>10116902</t>
  </si>
  <si>
    <t>4098630</t>
  </si>
  <si>
    <t>BRAZO DEL ANGULO INFERIOR DESCENTRADO</t>
  </si>
  <si>
    <t>10122539</t>
  </si>
  <si>
    <t>4102796</t>
  </si>
  <si>
    <t>PIN DE FRENO DE URDIMBRE ROTO</t>
  </si>
  <si>
    <t>10125542</t>
  </si>
  <si>
    <t>4105377</t>
  </si>
  <si>
    <t>BRAZO DE BOBINA</t>
  </si>
  <si>
    <t>10127631</t>
  </si>
  <si>
    <t>4106862</t>
  </si>
  <si>
    <t>FLUORESCENTE QUEMADO</t>
  </si>
  <si>
    <t>10127855</t>
  </si>
  <si>
    <t>4107003</t>
  </si>
  <si>
    <t>CAMBIO DE LIQUIDO DE FRENO</t>
  </si>
  <si>
    <t>10131675</t>
  </si>
  <si>
    <t>4109481</t>
  </si>
  <si>
    <t>CP MEJORA POSICION DE CANALETA</t>
  </si>
  <si>
    <t>10131918</t>
  </si>
  <si>
    <t>4109621</t>
  </si>
  <si>
    <t>RODAMIENTO AL ANGULO INFERIOR ROTO</t>
  </si>
  <si>
    <t>10132245</t>
  </si>
  <si>
    <t>4110160</t>
  </si>
  <si>
    <t>C/P 210/672*5*10</t>
  </si>
  <si>
    <t>10136475</t>
  </si>
  <si>
    <t>4112630</t>
  </si>
  <si>
    <t>SENSOR DE PEINE INOPERATIVO</t>
  </si>
  <si>
    <t>10138176</t>
  </si>
  <si>
    <t>4112977</t>
  </si>
  <si>
    <t>ILUMINARIA EN MAL ESTADO</t>
  </si>
  <si>
    <t>10141239</t>
  </si>
  <si>
    <t>4115469</t>
  </si>
  <si>
    <t>RECALENTAMIENTO DE MOTOR</t>
  </si>
  <si>
    <t>10143276</t>
  </si>
  <si>
    <t>4116174</t>
  </si>
  <si>
    <t>CP CAMISERA DE RODAMIENTO GUIA GANCHOS I</t>
  </si>
  <si>
    <t>10149828</t>
  </si>
  <si>
    <t>4119579</t>
  </si>
  <si>
    <t>LUMINARIAS QUEMADAS</t>
  </si>
  <si>
    <t>10154582</t>
  </si>
  <si>
    <t>4121949</t>
  </si>
  <si>
    <t>CAMBIO DE PIN</t>
  </si>
  <si>
    <t>10155593</t>
  </si>
  <si>
    <t>4122710</t>
  </si>
  <si>
    <t>MP MANTENIMIENTO CALIPER CAIDA DE BARRA</t>
  </si>
  <si>
    <t>10155656</t>
  </si>
  <si>
    <t>4122736</t>
  </si>
  <si>
    <t>MP MANTTO CALIPER/ZAPATAS</t>
  </si>
  <si>
    <t>10156560</t>
  </si>
  <si>
    <t>4123239</t>
  </si>
  <si>
    <t>MP MANTTO CALIPER/ZAPATAS (FABR PIN ESC)</t>
  </si>
  <si>
    <t>10162518</t>
  </si>
  <si>
    <t>4126804</t>
  </si>
  <si>
    <t>CAMBIO ZAPATA ALIMENTACION URDIMBRE</t>
  </si>
  <si>
    <t>10163839</t>
  </si>
  <si>
    <t>4127755</t>
  </si>
  <si>
    <t>CP CAMBIO VASTAGOS P/PESAS DE BARRA</t>
  </si>
  <si>
    <t>10164903</t>
  </si>
  <si>
    <t>4128393</t>
  </si>
  <si>
    <t>CP PULIDO DE GANCHOS INFERIORES</t>
  </si>
  <si>
    <t>10166806</t>
  </si>
  <si>
    <t>4129949</t>
  </si>
  <si>
    <t>01-08 SONIDO EXTRAÑO</t>
  </si>
  <si>
    <t>10169333</t>
  </si>
  <si>
    <t>4131321</t>
  </si>
  <si>
    <t>PULSADOR DE EMERGENCIA ROTO</t>
  </si>
  <si>
    <t>10169574</t>
  </si>
  <si>
    <t>4131426</t>
  </si>
  <si>
    <t>RODAMIENTO DE PIÑON DE LA CADENA BOTADOR</t>
  </si>
  <si>
    <t>10169617</t>
  </si>
  <si>
    <t>4131618</t>
  </si>
  <si>
    <t>FRENO DEL MOTOR RECALIENTA</t>
  </si>
  <si>
    <t>10172800</t>
  </si>
  <si>
    <t>4133264</t>
  </si>
  <si>
    <t>CP RECTIFICADO DE ZAPATA DE FRENO</t>
  </si>
  <si>
    <t>10175919</t>
  </si>
  <si>
    <t>4135174</t>
  </si>
  <si>
    <t>FRENO DEL MOTOR</t>
  </si>
  <si>
    <t>10177231</t>
  </si>
  <si>
    <t>4135762</t>
  </si>
  <si>
    <t>ROTURA DE RODAMIENTO DEL ANGULO INFERIOR</t>
  </si>
  <si>
    <t>10180396</t>
  </si>
  <si>
    <t>4138442</t>
  </si>
  <si>
    <t>FRENO DE URDIMBRE ROTO</t>
  </si>
  <si>
    <t>10181785</t>
  </si>
  <si>
    <t>4139606</t>
  </si>
  <si>
    <t>CAMBIO DE CANDADOS POR DESGASTE</t>
  </si>
  <si>
    <t>10188522</t>
  </si>
  <si>
    <t>4143460</t>
  </si>
  <si>
    <t>COMPRA CAMBIO DE RODAMIENTO TELAR 57</t>
  </si>
  <si>
    <t>10190855</t>
  </si>
  <si>
    <t>4144895</t>
  </si>
  <si>
    <t>SERV- FIME REPARACIÓN DE BRAZO TELAR 57</t>
  </si>
  <si>
    <t>10193817</t>
  </si>
  <si>
    <t>4149223</t>
  </si>
  <si>
    <t>CONTROL DE CONSUM01-35 FORRO DE RODILLOO</t>
  </si>
  <si>
    <t>10202189</t>
  </si>
  <si>
    <t>4157826</t>
  </si>
  <si>
    <t>BARRA DE NUDO IRREGULAR</t>
  </si>
  <si>
    <t>T-MAE01</t>
  </si>
  <si>
    <t>10205229</t>
  </si>
  <si>
    <t>4158487</t>
  </si>
  <si>
    <t>ARRANQUE DE MAQUINA</t>
  </si>
  <si>
    <t>10205245</t>
  </si>
  <si>
    <t>4158548</t>
  </si>
  <si>
    <t>PIÑON DE TRASMISION FUERA DE SITIO</t>
  </si>
  <si>
    <t>10204921</t>
  </si>
  <si>
    <t>4158609</t>
  </si>
  <si>
    <t>MAQUINA ALARMADA</t>
  </si>
  <si>
    <t>10205641</t>
  </si>
  <si>
    <t>4158864</t>
  </si>
  <si>
    <t>REVISAR ENCOVER</t>
  </si>
  <si>
    <t>10205689</t>
  </si>
  <si>
    <t>4158899</t>
  </si>
  <si>
    <t>MAQUINA NO PRENDE</t>
  </si>
  <si>
    <t>10205720</t>
  </si>
  <si>
    <t>4159741</t>
  </si>
  <si>
    <t>10205766</t>
  </si>
  <si>
    <t>4159756</t>
  </si>
  <si>
    <t>C/P 250/ 3/8X8''X2.5MAX15</t>
  </si>
  <si>
    <t>10205767</t>
  </si>
  <si>
    <t>4159757</t>
  </si>
  <si>
    <t>REVISAR ENCODER</t>
  </si>
  <si>
    <t>10206288</t>
  </si>
  <si>
    <t>4160034</t>
  </si>
  <si>
    <t>CAMBIO DE ENCODER</t>
  </si>
  <si>
    <t>10206314</t>
  </si>
  <si>
    <t>4160044</t>
  </si>
  <si>
    <t>PELUSEO</t>
  </si>
  <si>
    <t>10206292</t>
  </si>
  <si>
    <t>4160431</t>
  </si>
  <si>
    <t>10206327</t>
  </si>
  <si>
    <t>4160438</t>
  </si>
  <si>
    <t>01-13 PELUCEO</t>
  </si>
  <si>
    <t>10206647</t>
  </si>
  <si>
    <t>4160472</t>
  </si>
  <si>
    <t>ROTURA DE SOPORTE RODILLO GUIA</t>
  </si>
  <si>
    <t>10206925</t>
  </si>
  <si>
    <t>4160714</t>
  </si>
  <si>
    <t>ROTURA DE GANCHOS DE INFERIORES</t>
  </si>
  <si>
    <t>10207091</t>
  </si>
  <si>
    <t>4160887</t>
  </si>
  <si>
    <t>SERV REP MOTOR ELÉCTRICO</t>
  </si>
  <si>
    <t>10206524</t>
  </si>
  <si>
    <t>4161885</t>
  </si>
  <si>
    <t>FALLA ELECTRICA ENCODER</t>
  </si>
  <si>
    <t>10206541</t>
  </si>
  <si>
    <t>4161887</t>
  </si>
  <si>
    <t>PROBLEMAS EN EL ENCODER</t>
  </si>
  <si>
    <t>10206599</t>
  </si>
  <si>
    <t>4161889</t>
  </si>
  <si>
    <t>MOTOR PRINCIPAL AVERIADO</t>
  </si>
  <si>
    <t>10206606</t>
  </si>
  <si>
    <t>4161894</t>
  </si>
  <si>
    <t>ROTURA DE BASE DE RODAMIENTO DE CUNETA</t>
  </si>
  <si>
    <t>10206624</t>
  </si>
  <si>
    <t>4161902</t>
  </si>
  <si>
    <t>MOTOR CON DESPERFECTO EN SU EJE</t>
  </si>
  <si>
    <t>10206625</t>
  </si>
  <si>
    <t>4161903</t>
  </si>
  <si>
    <t>10206996</t>
  </si>
  <si>
    <t>4161975</t>
  </si>
  <si>
    <t>INTERVENSION MECANICA, MAQUINA DESENTRAD</t>
  </si>
  <si>
    <t>10207060</t>
  </si>
  <si>
    <t>4161979</t>
  </si>
  <si>
    <t>INTERVENCION POR MAQUINA DESENTRADA</t>
  </si>
  <si>
    <t>10207491</t>
  </si>
  <si>
    <t>4162045</t>
  </si>
  <si>
    <t>INTERVENCION ELECTRICA</t>
  </si>
  <si>
    <t>10207573</t>
  </si>
  <si>
    <t>4162064</t>
  </si>
  <si>
    <t>10208008</t>
  </si>
  <si>
    <t>4162985</t>
  </si>
  <si>
    <t>INTERVENSION MECANICA</t>
  </si>
  <si>
    <t>10208060</t>
  </si>
  <si>
    <t>4162991</t>
  </si>
  <si>
    <t>PELUCEO LIJAR LANZADERAS</t>
  </si>
  <si>
    <t>10208227</t>
  </si>
  <si>
    <t>4163004</t>
  </si>
  <si>
    <t>C/PROD. 210/448X3 1/2X122X50</t>
  </si>
  <si>
    <t>10208390</t>
  </si>
  <si>
    <t>4163010</t>
  </si>
  <si>
    <t>INETRVENCION MECANICA</t>
  </si>
  <si>
    <t>10208487</t>
  </si>
  <si>
    <t>4163012</t>
  </si>
  <si>
    <t>SENSOR DE PESA EN MAL ESTADO</t>
  </si>
  <si>
    <t>10208488</t>
  </si>
  <si>
    <t>4163013</t>
  </si>
  <si>
    <t>TAMAÑO DE MALLA CHICO</t>
  </si>
  <si>
    <t>10208544</t>
  </si>
  <si>
    <t>4163020</t>
  </si>
  <si>
    <t>10208618</t>
  </si>
  <si>
    <t>4163030</t>
  </si>
  <si>
    <t>10209353</t>
  </si>
  <si>
    <t>4164362</t>
  </si>
  <si>
    <t>SONIDOS EXTRAÑOS</t>
  </si>
  <si>
    <t>10209358</t>
  </si>
  <si>
    <t>4164363</t>
  </si>
  <si>
    <t>PASAR NUDOS DE POLIETILENO</t>
  </si>
  <si>
    <t>10208932</t>
  </si>
  <si>
    <t>4164364</t>
  </si>
  <si>
    <t>FALLA EN EL SENSOR DE TRAMA</t>
  </si>
  <si>
    <t>10208430</t>
  </si>
  <si>
    <t>4164365</t>
  </si>
  <si>
    <t>BAJAR 2mm A MEDIDA DE MALLA</t>
  </si>
  <si>
    <t>10208154</t>
  </si>
  <si>
    <t>4164527</t>
  </si>
  <si>
    <t>FAJA ROTA</t>
  </si>
  <si>
    <t>10208391</t>
  </si>
  <si>
    <t>4164545</t>
  </si>
  <si>
    <t>FALLA EN EL SENSOR DE PESA</t>
  </si>
  <si>
    <t>10208415</t>
  </si>
  <si>
    <t>4164569</t>
  </si>
  <si>
    <t>ARRANQUE CAMBIO DE PRODUCCION</t>
  </si>
  <si>
    <t>10208933</t>
  </si>
  <si>
    <t>4164627</t>
  </si>
  <si>
    <t>INTERVENCION MECANICA</t>
  </si>
  <si>
    <t>10211204</t>
  </si>
  <si>
    <t>4165782</t>
  </si>
  <si>
    <t>FP03</t>
  </si>
  <si>
    <t>INSTALACION MANTA NEGRA TELAR 57</t>
  </si>
  <si>
    <t>10211565</t>
  </si>
  <si>
    <t>4166556</t>
  </si>
  <si>
    <t>AUMENTAR TRAMA</t>
  </si>
  <si>
    <t>10211570</t>
  </si>
  <si>
    <t>4166559</t>
  </si>
  <si>
    <t>ARRANQUE POR FALSOS ORILLOS</t>
  </si>
  <si>
    <t>10211731</t>
  </si>
  <si>
    <t>4166650</t>
  </si>
  <si>
    <t>EXCESO DE TRAMA</t>
  </si>
  <si>
    <t>10211642</t>
  </si>
  <si>
    <t>4166736</t>
  </si>
  <si>
    <t>GANCHO DE CORDEL ROTO</t>
  </si>
  <si>
    <t>10211566</t>
  </si>
  <si>
    <t>4167173</t>
  </si>
  <si>
    <t>PARADA POR TIEMPO PROLONGADO</t>
  </si>
  <si>
    <t>10211567</t>
  </si>
  <si>
    <t>4167174</t>
  </si>
  <si>
    <t>ORILLO DEFECTUOSO</t>
  </si>
  <si>
    <t>10212365</t>
  </si>
  <si>
    <t>4167535</t>
  </si>
  <si>
    <t>SENSOR DE PESA FUERA DE POSICION</t>
  </si>
  <si>
    <t>10212664</t>
  </si>
  <si>
    <t>4167789</t>
  </si>
  <si>
    <t>10212307</t>
  </si>
  <si>
    <t>4168044</t>
  </si>
  <si>
    <t>RODILLO DE CANALETA DE AGUA FUERA DE SIT</t>
  </si>
  <si>
    <t>10212944</t>
  </si>
  <si>
    <t>4168124</t>
  </si>
  <si>
    <t>10213108</t>
  </si>
  <si>
    <t>4168360</t>
  </si>
  <si>
    <t>ROTURA DE PERNO DE LA PESA DE LA BARRA</t>
  </si>
  <si>
    <t>10212798</t>
  </si>
  <si>
    <t>4168574</t>
  </si>
  <si>
    <t>10212947</t>
  </si>
  <si>
    <t>4168582</t>
  </si>
  <si>
    <t>REGULACION DE ALIMENTACION DE URDIMBRE</t>
  </si>
  <si>
    <t>10212967</t>
  </si>
  <si>
    <t>4168647</t>
  </si>
  <si>
    <t>RODILLO DE CANALETA FUERA DE POSICION</t>
  </si>
  <si>
    <t>10211995</t>
  </si>
  <si>
    <t>4168747</t>
  </si>
  <si>
    <t>10212083</t>
  </si>
  <si>
    <t>4168805</t>
  </si>
  <si>
    <t>SUBIR 1mm  A LA MEDIDA DE MALLA</t>
  </si>
  <si>
    <t>10214116</t>
  </si>
  <si>
    <t>4169155</t>
  </si>
  <si>
    <t>CARENCIA DE MEDIDA DE MALLA</t>
  </si>
  <si>
    <t>10213702</t>
  </si>
  <si>
    <t>4169242</t>
  </si>
  <si>
    <t>BARRA DE CAIDA TRABADA</t>
  </si>
  <si>
    <t>10214097</t>
  </si>
  <si>
    <t>4169555</t>
  </si>
  <si>
    <t>10214671</t>
  </si>
  <si>
    <t>4169617</t>
  </si>
  <si>
    <t>CARENCIA DE TENSION DE URDIMBRE</t>
  </si>
  <si>
    <t>10214102</t>
  </si>
  <si>
    <t>4169908</t>
  </si>
  <si>
    <t>10214552</t>
  </si>
  <si>
    <t>4169969</t>
  </si>
  <si>
    <t>10214726</t>
  </si>
  <si>
    <t>4169986</t>
  </si>
  <si>
    <t>10214661</t>
  </si>
  <si>
    <t>4170029</t>
  </si>
  <si>
    <t>COLOCAR PUAS DE URDIMBRE</t>
  </si>
  <si>
    <t>10215082</t>
  </si>
  <si>
    <t>4170158</t>
  </si>
  <si>
    <t>PEINE ABRE HILO TRABADO CON EL ANGULO IN</t>
  </si>
  <si>
    <t>10214946</t>
  </si>
  <si>
    <t>4170294</t>
  </si>
  <si>
    <t>SENSOR DE URDIMBRE FUERA DE POSICION</t>
  </si>
  <si>
    <t>10214949</t>
  </si>
  <si>
    <t>4170596</t>
  </si>
  <si>
    <t>REGULAR TENSION</t>
  </si>
  <si>
    <t>10215067</t>
  </si>
  <si>
    <t>4170623</t>
  </si>
  <si>
    <t>PASAR NUDOS PRUEBA</t>
  </si>
  <si>
    <t>10217641</t>
  </si>
  <si>
    <t>4173123</t>
  </si>
  <si>
    <t>CAMBIO DE PRODUCCION MUESTRA</t>
  </si>
  <si>
    <t>10218266</t>
  </si>
  <si>
    <t>4173917</t>
  </si>
  <si>
    <t>SACAR PAÑO</t>
  </si>
  <si>
    <t>10218605</t>
  </si>
  <si>
    <t>4173985</t>
  </si>
  <si>
    <t>REGULACION DE TENSION</t>
  </si>
  <si>
    <t>10217604</t>
  </si>
  <si>
    <t>4174447</t>
  </si>
  <si>
    <t>ARRANQUE DE MAQUINA POR TIEMPO PROLONGAD</t>
  </si>
  <si>
    <t>10217650</t>
  </si>
  <si>
    <t>4174451</t>
  </si>
  <si>
    <t>10218426</t>
  </si>
  <si>
    <t>4174476</t>
  </si>
  <si>
    <t>10218826</t>
  </si>
  <si>
    <t>4174509</t>
  </si>
  <si>
    <t>10220061</t>
  </si>
  <si>
    <t>4175567</t>
  </si>
  <si>
    <t>CAIDA DE BARRA TRABADA</t>
  </si>
  <si>
    <t>T-MCA01</t>
  </si>
  <si>
    <t>10219840</t>
  </si>
  <si>
    <t>4175759</t>
  </si>
  <si>
    <t>EXTRACION DEL PAÑO FINALIZO PRODUCCION</t>
  </si>
  <si>
    <t>10220160</t>
  </si>
  <si>
    <t>4175784</t>
  </si>
  <si>
    <t>NUDO FLOJO</t>
  </si>
  <si>
    <t>10220162</t>
  </si>
  <si>
    <t>4175795</t>
  </si>
  <si>
    <t>NO HACE LAZO</t>
  </si>
  <si>
    <t>10220213</t>
  </si>
  <si>
    <t>4175819</t>
  </si>
  <si>
    <t>AJUSTAR NUDOS</t>
  </si>
  <si>
    <t>10220226</t>
  </si>
  <si>
    <t>4175864</t>
  </si>
  <si>
    <t>10220227</t>
  </si>
  <si>
    <t>4175867</t>
  </si>
  <si>
    <t>ROTURA DE GANCHO INFERIOR</t>
  </si>
  <si>
    <t>10220228</t>
  </si>
  <si>
    <t>4175868</t>
  </si>
  <si>
    <t>REGULACION EN LOS FIJADORES DE NUDO</t>
  </si>
  <si>
    <t>10220309</t>
  </si>
  <si>
    <t>4176089</t>
  </si>
  <si>
    <t>REGULACION DE FIJADO DE NUDO</t>
  </si>
  <si>
    <t>10220062</t>
  </si>
  <si>
    <t>4176140</t>
  </si>
  <si>
    <t>ORILLO DE FALSO DEFECTUOSO</t>
  </si>
  <si>
    <t>10220148</t>
  </si>
  <si>
    <t>4176148</t>
  </si>
  <si>
    <t>10220290</t>
  </si>
  <si>
    <t>4176209</t>
  </si>
  <si>
    <t>REVISAR  SENSOR DE LANZADERAS</t>
  </si>
  <si>
    <t>10220294</t>
  </si>
  <si>
    <t>4176211</t>
  </si>
  <si>
    <t>MALA APARIENCIA DE PAÑO</t>
  </si>
  <si>
    <t>10220550</t>
  </si>
  <si>
    <t>4176309</t>
  </si>
  <si>
    <t>EXTRACCIÓN DE PAÑO TERMINADO</t>
  </si>
  <si>
    <t>10220547</t>
  </si>
  <si>
    <t>4176388</t>
  </si>
  <si>
    <t>EXCESO DE MEDIDA DE MALLA</t>
  </si>
  <si>
    <t>10220744</t>
  </si>
  <si>
    <t>4176477</t>
  </si>
  <si>
    <t>CAMBIO DE BOCINA  DE ZAPATA DE URDIMBRE</t>
  </si>
  <si>
    <t>10219224</t>
  </si>
  <si>
    <t>4176501</t>
  </si>
  <si>
    <t>REFUERZO CON MALLA CHICA</t>
  </si>
  <si>
    <t>10220338</t>
  </si>
  <si>
    <t>4176503</t>
  </si>
  <si>
    <t>10220636</t>
  </si>
  <si>
    <t>4176512</t>
  </si>
  <si>
    <t>ESCASO DE TRAMA</t>
  </si>
  <si>
    <t>10220602</t>
  </si>
  <si>
    <t>4176522</t>
  </si>
  <si>
    <t>10220340</t>
  </si>
  <si>
    <t>4176525</t>
  </si>
  <si>
    <t>MEDIDA DE MALLA FUERA DE RANGO</t>
  </si>
  <si>
    <t>10220342</t>
  </si>
  <si>
    <t>4176526</t>
  </si>
  <si>
    <t>10220423</t>
  </si>
  <si>
    <t>4176527</t>
  </si>
  <si>
    <t>10220392</t>
  </si>
  <si>
    <t>4176528</t>
  </si>
  <si>
    <t>10220477</t>
  </si>
  <si>
    <t>4176531</t>
  </si>
  <si>
    <t>TENSION BAJA</t>
  </si>
  <si>
    <t>10220436</t>
  </si>
  <si>
    <t>4176591</t>
  </si>
  <si>
    <t>10220476</t>
  </si>
  <si>
    <t>4176611</t>
  </si>
  <si>
    <t>10220629</t>
  </si>
  <si>
    <t>4176615</t>
  </si>
  <si>
    <t>10220732</t>
  </si>
  <si>
    <t>4176624</t>
  </si>
  <si>
    <t>INTERVENCION MECANICA (MUESTRA)</t>
  </si>
  <si>
    <t>10220733</t>
  </si>
  <si>
    <t>4176625</t>
  </si>
  <si>
    <t>10220716</t>
  </si>
  <si>
    <t>4176800</t>
  </si>
  <si>
    <t>SENSOR DE LANZADERA FUERA DE POSICION</t>
  </si>
  <si>
    <t>10221060</t>
  </si>
  <si>
    <t>4177219</t>
  </si>
  <si>
    <t>PIN  DE RODILLO DE CANALETA DESMONTADO</t>
  </si>
  <si>
    <t>10221122</t>
  </si>
  <si>
    <t>4177220</t>
  </si>
  <si>
    <t>HEXAGONALES</t>
  </si>
  <si>
    <t>10221124</t>
  </si>
  <si>
    <t>4177221</t>
  </si>
  <si>
    <t>ESCASA MEDIDA DE MALLA</t>
  </si>
  <si>
    <t>4177327</t>
  </si>
  <si>
    <t>CAMBIO DE FRENOS Y RECUBRIMIENTOS</t>
  </si>
  <si>
    <t>10221715</t>
  </si>
  <si>
    <t>4177636</t>
  </si>
  <si>
    <t>10221705</t>
  </si>
  <si>
    <t>4177744</t>
  </si>
  <si>
    <t>AJUSTES POR VARIACION DE MEDIDA</t>
  </si>
  <si>
    <t>10221596</t>
  </si>
  <si>
    <t>4177760</t>
  </si>
  <si>
    <t>10221672</t>
  </si>
  <si>
    <t>4177764</t>
  </si>
  <si>
    <t>BAJAR 2mm ALA MEDIDA DE MALLA</t>
  </si>
  <si>
    <t>10221086</t>
  </si>
  <si>
    <t>4178110</t>
  </si>
  <si>
    <t>REGULAR TENSIÓN</t>
  </si>
  <si>
    <t>10221105</t>
  </si>
  <si>
    <t>4178117</t>
  </si>
  <si>
    <t>VARIACIÓN DE MEDIDA</t>
  </si>
  <si>
    <t>10221178</t>
  </si>
  <si>
    <t>4178127</t>
  </si>
  <si>
    <t>AJUSTE DE ANGULO INFERIOR</t>
  </si>
  <si>
    <t>10222790</t>
  </si>
  <si>
    <t>4178185</t>
  </si>
  <si>
    <t>10222499</t>
  </si>
  <si>
    <t>4178228</t>
  </si>
  <si>
    <t>10222396</t>
  </si>
  <si>
    <t>4178230</t>
  </si>
  <si>
    <t>10222434</t>
  </si>
  <si>
    <t>4178257</t>
  </si>
  <si>
    <t>10222449</t>
  </si>
  <si>
    <t>4178262</t>
  </si>
  <si>
    <t>10222526</t>
  </si>
  <si>
    <t>4178267</t>
  </si>
  <si>
    <t>10223496</t>
  </si>
  <si>
    <t>4178530</t>
  </si>
  <si>
    <t>CAMBIAR GANCHOS INFERIORES POR PELUCEO</t>
  </si>
  <si>
    <t>10223508</t>
  </si>
  <si>
    <t>4178540</t>
  </si>
  <si>
    <t>BOTONERA  DE MANO DE ARRANQUE(AVERIADO)E</t>
  </si>
  <si>
    <t>10221466</t>
  </si>
  <si>
    <t>4178547</t>
  </si>
  <si>
    <t>MANDO DE ARRANQUE AVERIADO</t>
  </si>
  <si>
    <t>10223521</t>
  </si>
  <si>
    <t>4179357</t>
  </si>
  <si>
    <t>CORREGIR PELUCEO</t>
  </si>
  <si>
    <t>10223584</t>
  </si>
  <si>
    <t>4179484</t>
  </si>
  <si>
    <t>AMARRAR MUESTRA 210/480TZ</t>
  </si>
  <si>
    <t>10223324</t>
  </si>
  <si>
    <t>4179500</t>
  </si>
  <si>
    <t>SONIDO ESTRAÑO EN EL ANGULO INFERIOR</t>
  </si>
  <si>
    <t>10222669</t>
  </si>
  <si>
    <t>4179518</t>
  </si>
  <si>
    <t>10223919</t>
  </si>
  <si>
    <t>4180002</t>
  </si>
  <si>
    <t>REGULAR MEDIDA</t>
  </si>
  <si>
    <t>10221032</t>
  </si>
  <si>
    <t>4180142</t>
  </si>
  <si>
    <t>AUMENTO DE TAMAÑO DE MALLA</t>
  </si>
  <si>
    <t>10221623</t>
  </si>
  <si>
    <t>4180206</t>
  </si>
  <si>
    <t>CAMBIO DE BOMBA DE CAIDA DE BARRA</t>
  </si>
  <si>
    <t>10221624</t>
  </si>
  <si>
    <t>4180207</t>
  </si>
  <si>
    <t>REGULACION DE CADENA DE AVANCE DE MALLA</t>
  </si>
  <si>
    <t>10222529</t>
  </si>
  <si>
    <t>4180221</t>
  </si>
  <si>
    <t>DOBLADURA DE GANCHO SEPARADOR</t>
  </si>
  <si>
    <t>10224201</t>
  </si>
  <si>
    <t>4180623</t>
  </si>
  <si>
    <t>10224206</t>
  </si>
  <si>
    <t>4180627</t>
  </si>
  <si>
    <t>NUDOS NO FIJAN BIEN</t>
  </si>
  <si>
    <t>10224228</t>
  </si>
  <si>
    <t>4180695</t>
  </si>
  <si>
    <t>10224389</t>
  </si>
  <si>
    <t>4180992</t>
  </si>
  <si>
    <t>SUBIR 2mm ALA MEDIDA DE MALLA</t>
  </si>
  <si>
    <t>10225005</t>
  </si>
  <si>
    <t>4181558</t>
  </si>
  <si>
    <t>RODAJES DE GUIA DE URDIMBRE</t>
  </si>
  <si>
    <t>10225037</t>
  </si>
  <si>
    <t>4181825</t>
  </si>
  <si>
    <t>SONIDO ESTRAÑO</t>
  </si>
  <si>
    <t>10225715</t>
  </si>
  <si>
    <t>4182511</t>
  </si>
  <si>
    <t>10225803</t>
  </si>
  <si>
    <t>4182610</t>
  </si>
  <si>
    <t>MAQUINA TRABADA</t>
  </si>
  <si>
    <t>10225957</t>
  </si>
  <si>
    <t>4182817</t>
  </si>
  <si>
    <t>10226298</t>
  </si>
  <si>
    <t>4183138</t>
  </si>
  <si>
    <t>MANTENIMIENTO A LA GUIA DE URDIMBRE</t>
  </si>
  <si>
    <t>10226540</t>
  </si>
  <si>
    <t>4183318</t>
  </si>
  <si>
    <t>ARRANQUE POR TIEMPO PROLONGADO</t>
  </si>
  <si>
    <t>10226544</t>
  </si>
  <si>
    <t>4183322</t>
  </si>
  <si>
    <t>10226548</t>
  </si>
  <si>
    <t>4183449</t>
  </si>
  <si>
    <t>10226550</t>
  </si>
  <si>
    <t>4183451</t>
  </si>
  <si>
    <t>10226553</t>
  </si>
  <si>
    <t>4183454</t>
  </si>
  <si>
    <t>10226626</t>
  </si>
  <si>
    <t>4183455</t>
  </si>
  <si>
    <t>EXTRACION DEL PAÑO FINALIZACION DE PRODU</t>
  </si>
  <si>
    <t>10226603</t>
  </si>
  <si>
    <t>4183922</t>
  </si>
  <si>
    <t>SENSOR DE PESA MAL REGULADO</t>
  </si>
  <si>
    <t>10227468</t>
  </si>
  <si>
    <t>4184485</t>
  </si>
  <si>
    <t>CAMBIAR FORRO DE RODILLO</t>
  </si>
  <si>
    <t>10227985</t>
  </si>
  <si>
    <t>4184883</t>
  </si>
  <si>
    <t>ARRANQUE DE CAMBIO DE PRODUCCION</t>
  </si>
  <si>
    <t>10227256</t>
  </si>
  <si>
    <t>4184943</t>
  </si>
  <si>
    <t>PARADA DE EMERGENCIA DAÑADA</t>
  </si>
  <si>
    <t>10228260</t>
  </si>
  <si>
    <t>4185095</t>
  </si>
  <si>
    <t>DESGASTE RECUBRIMI DE FORRO DE RODILLO</t>
  </si>
  <si>
    <t>10228427</t>
  </si>
  <si>
    <t>4185274</t>
  </si>
  <si>
    <t>REGULACION DE CAIDA DE BARRA</t>
  </si>
  <si>
    <t>10228123</t>
  </si>
  <si>
    <t>4185338</t>
  </si>
  <si>
    <t>10228121</t>
  </si>
  <si>
    <t>4185340</t>
  </si>
  <si>
    <t>4185518</t>
  </si>
  <si>
    <t>INSPECCION DE RECUBRIMIENTO AVANCE MALLA</t>
  </si>
  <si>
    <t>10228711</t>
  </si>
  <si>
    <t>4185551</t>
  </si>
  <si>
    <t>BAJA 2mm A LA MEDIDA DE MALLA</t>
  </si>
  <si>
    <t>10227957</t>
  </si>
  <si>
    <t>4185583</t>
  </si>
  <si>
    <t>PASAR NUDOS</t>
  </si>
  <si>
    <t>10228033</t>
  </si>
  <si>
    <t>4185597</t>
  </si>
  <si>
    <t>TENSION DE URDIMBRE ALTA</t>
  </si>
  <si>
    <t>10227577</t>
  </si>
  <si>
    <t>4185920</t>
  </si>
  <si>
    <t>10229289</t>
  </si>
  <si>
    <t>4186327</t>
  </si>
  <si>
    <t>10229283</t>
  </si>
  <si>
    <t>4186509</t>
  </si>
  <si>
    <t>10229791</t>
  </si>
  <si>
    <t>4186606</t>
  </si>
  <si>
    <t>4186930</t>
  </si>
  <si>
    <t>PIÑON DE BOTADOR SUPERIOR</t>
  </si>
  <si>
    <t>10230066</t>
  </si>
  <si>
    <t>4186953</t>
  </si>
  <si>
    <t>CAMBIAR PUA DE FILETA</t>
  </si>
  <si>
    <t>10230067</t>
  </si>
  <si>
    <t>4186954</t>
  </si>
  <si>
    <t>SACAR PAÑO DE LA MAQUINA</t>
  </si>
  <si>
    <t>4186992</t>
  </si>
  <si>
    <t>MANTENIMIENTO ELÉCTRICO</t>
  </si>
  <si>
    <t>4186993</t>
  </si>
  <si>
    <t>MP MANTENIMIENTO TELAR 57</t>
  </si>
  <si>
    <t>10231327</t>
  </si>
  <si>
    <t>4188872</t>
  </si>
  <si>
    <t>NO PRENDE</t>
  </si>
  <si>
    <t>10230051</t>
  </si>
  <si>
    <t>4188996</t>
  </si>
  <si>
    <t>SOLDADURA DE SOPORTE DE BALANCINES</t>
  </si>
  <si>
    <t>10231745</t>
  </si>
  <si>
    <t>4189170</t>
  </si>
  <si>
    <t>SOPORTE EN HABILITADO DE CORDELES</t>
  </si>
  <si>
    <t>10232128</t>
  </si>
  <si>
    <t>4189477</t>
  </si>
  <si>
    <t>10232392</t>
  </si>
  <si>
    <t>4190736</t>
  </si>
  <si>
    <t>AJUSTE DEL SENSOR DE TENSION DE BOBINA</t>
  </si>
  <si>
    <t>10232892</t>
  </si>
  <si>
    <t>4190896</t>
  </si>
  <si>
    <t>SE AUMENTA HILERAS</t>
  </si>
  <si>
    <t>10233018</t>
  </si>
  <si>
    <t>4190900</t>
  </si>
  <si>
    <t>ROTURA DE PERNO DE FRENO AUXILIAR</t>
  </si>
  <si>
    <t>10233963</t>
  </si>
  <si>
    <t>4191021</t>
  </si>
  <si>
    <t>SENSOR DE FILETA DE URDIMBRE AVERIADO</t>
  </si>
  <si>
    <t>10233425</t>
  </si>
  <si>
    <t>4191130</t>
  </si>
  <si>
    <t>VARIACION DE TENSION</t>
  </si>
  <si>
    <t>10233427</t>
  </si>
  <si>
    <t>4191132</t>
  </si>
  <si>
    <t>CAMBIO DE GANCHOS INFERIORES</t>
  </si>
  <si>
    <t>10233438</t>
  </si>
  <si>
    <t>4191143</t>
  </si>
  <si>
    <t>10233765</t>
  </si>
  <si>
    <t>4191305</t>
  </si>
  <si>
    <t>SENSOR DE TENSION MAL REGULADO</t>
  </si>
  <si>
    <t>10232168</t>
  </si>
  <si>
    <t>4191396</t>
  </si>
  <si>
    <t>10232313</t>
  </si>
  <si>
    <t>4191449</t>
  </si>
  <si>
    <t>RECUBRIMIENTO SUELTO</t>
  </si>
  <si>
    <t>10232394</t>
  </si>
  <si>
    <t>4191462</t>
  </si>
  <si>
    <t>10232734</t>
  </si>
  <si>
    <t>4191524</t>
  </si>
  <si>
    <t>SONIDO EXTRAÑO</t>
  </si>
  <si>
    <t>10232857</t>
  </si>
  <si>
    <t>4191531</t>
  </si>
  <si>
    <t>RODILLO NO GIRA</t>
  </si>
  <si>
    <t>10233236</t>
  </si>
  <si>
    <t>4191552</t>
  </si>
  <si>
    <t>10233423</t>
  </si>
  <si>
    <t>4191562</t>
  </si>
  <si>
    <t>10233530</t>
  </si>
  <si>
    <t>4191563</t>
  </si>
  <si>
    <t>10233532</t>
  </si>
  <si>
    <t>4191565</t>
  </si>
  <si>
    <t>COLOCACION DE PESA</t>
  </si>
  <si>
    <t>10232679</t>
  </si>
  <si>
    <t>4191610</t>
  </si>
  <si>
    <t>10233705</t>
  </si>
  <si>
    <t>4191640</t>
  </si>
  <si>
    <t>10233974</t>
  </si>
  <si>
    <t>4191729</t>
  </si>
  <si>
    <t>10233708</t>
  </si>
  <si>
    <t>4191743</t>
  </si>
  <si>
    <t>CAMBIO DE LUMINARIA</t>
  </si>
  <si>
    <t>10235389</t>
  </si>
  <si>
    <t>4193025</t>
  </si>
  <si>
    <t>ARRANQUE DEPRODUCCION</t>
  </si>
  <si>
    <t>10234310</t>
  </si>
  <si>
    <t>4193136</t>
  </si>
  <si>
    <t>ROTURA DE PERNO DE RODILLO INFERIOR</t>
  </si>
  <si>
    <t>10234817</t>
  </si>
  <si>
    <t>4193228</t>
  </si>
  <si>
    <t>ROTURA DE CADENA DE ARRASTRE DE MEDIDA</t>
  </si>
  <si>
    <t>10234253</t>
  </si>
  <si>
    <t>4193377</t>
  </si>
  <si>
    <t>PAÑO SE COLGO EN RODILLO BOTADOR</t>
  </si>
  <si>
    <t>10235311</t>
  </si>
  <si>
    <t>4193511</t>
  </si>
  <si>
    <t>AJUSTE DE PUAS DE URDIMBRE</t>
  </si>
  <si>
    <t>10235363</t>
  </si>
  <si>
    <t>4193522</t>
  </si>
  <si>
    <t>10235461</t>
  </si>
  <si>
    <t>4193533</t>
  </si>
  <si>
    <t>GANCHO GUIA DOBLADO</t>
  </si>
  <si>
    <t>10235840</t>
  </si>
  <si>
    <t>4193758</t>
  </si>
  <si>
    <t>10235842</t>
  </si>
  <si>
    <t>4193759</t>
  </si>
  <si>
    <t>DESPRENDIMIENTO DE FORRO</t>
  </si>
  <si>
    <t>10235844</t>
  </si>
  <si>
    <t>4193839</t>
  </si>
  <si>
    <t>10235915</t>
  </si>
  <si>
    <t>4194190</t>
  </si>
  <si>
    <t>SENSOR DE URDIMBRE MAL REGULADO</t>
  </si>
  <si>
    <t>10235921</t>
  </si>
  <si>
    <t>4194191</t>
  </si>
  <si>
    <t>10236069</t>
  </si>
  <si>
    <t>4194218</t>
  </si>
  <si>
    <t>SENSOR DE URDIMBRE</t>
  </si>
  <si>
    <t>10235918</t>
  </si>
  <si>
    <t>4194261</t>
  </si>
  <si>
    <t>CABLES DE ALIMENTACION DESCONECTADOS</t>
  </si>
  <si>
    <t>10234906</t>
  </si>
  <si>
    <t>4194285</t>
  </si>
  <si>
    <t>ROTURA EN SOLDADURA DE GUÍA PAÑO</t>
  </si>
  <si>
    <t>10236197</t>
  </si>
  <si>
    <t>4194333</t>
  </si>
  <si>
    <t>BAJAR 2MM A LA MEDIDA DE MALLA</t>
  </si>
  <si>
    <t>4194453</t>
  </si>
  <si>
    <t>REPARACIÓN DE SOLDADURA DE VIGA</t>
  </si>
  <si>
    <t>10236184</t>
  </si>
  <si>
    <t>4194703</t>
  </si>
  <si>
    <t>10236405</t>
  </si>
  <si>
    <t>4194824</t>
  </si>
  <si>
    <t>PAÑO SE CUELGA EN RODILLO</t>
  </si>
  <si>
    <t>10236761</t>
  </si>
  <si>
    <t>4194967</t>
  </si>
  <si>
    <t>COLOCACION DE PUAS DE URDIMBRE</t>
  </si>
  <si>
    <t>10238015</t>
  </si>
  <si>
    <t>4196078</t>
  </si>
  <si>
    <t>10238997</t>
  </si>
  <si>
    <t>4196911</t>
  </si>
  <si>
    <t>REGULACION DE AMORTIGUACION</t>
  </si>
  <si>
    <t>10239252</t>
  </si>
  <si>
    <t>4197229</t>
  </si>
  <si>
    <t>SUBIR 1MM A LA MEDIDA DE MALLA</t>
  </si>
  <si>
    <t>10239364</t>
  </si>
  <si>
    <t>4197275</t>
  </si>
  <si>
    <t>GANCHO SEPARADOR DOBLADO</t>
  </si>
  <si>
    <t>10239149</t>
  </si>
  <si>
    <t>4197700</t>
  </si>
  <si>
    <t>ARRANQUE DE PRODUCCION</t>
  </si>
  <si>
    <t>10239491</t>
  </si>
  <si>
    <t>4197780</t>
  </si>
  <si>
    <t>AJUSTE DE GANCHO INFERIOR</t>
  </si>
  <si>
    <t>10239400</t>
  </si>
  <si>
    <t>4197787</t>
  </si>
  <si>
    <t>CAMBIO DE 05 GANCHO INFERIORES</t>
  </si>
  <si>
    <t>10239487</t>
  </si>
  <si>
    <t>4197810</t>
  </si>
  <si>
    <t>10239709</t>
  </si>
  <si>
    <t>4198011</t>
  </si>
  <si>
    <t>GANCHO NO JALA HILO</t>
  </si>
  <si>
    <t>10239576</t>
  </si>
  <si>
    <t>4198027</t>
  </si>
  <si>
    <t>NO JALA HILO DE URDIMBRE</t>
  </si>
  <si>
    <t>10239606</t>
  </si>
  <si>
    <t>4198033</t>
  </si>
  <si>
    <t>RAYAS HORIZONTALES</t>
  </si>
  <si>
    <t>10239766</t>
  </si>
  <si>
    <t>4198102</t>
  </si>
  <si>
    <t>NUDOS VOLTEADOS</t>
  </si>
  <si>
    <t>10239617</t>
  </si>
  <si>
    <t>4198196</t>
  </si>
  <si>
    <t>10240024</t>
  </si>
  <si>
    <t>4198289</t>
  </si>
  <si>
    <t>10239988</t>
  </si>
  <si>
    <t>4198391</t>
  </si>
  <si>
    <t>10240513</t>
  </si>
  <si>
    <t>4198690</t>
  </si>
  <si>
    <t>10240953</t>
  </si>
  <si>
    <t>4199351</t>
  </si>
  <si>
    <t>NUDO ABIERTO</t>
  </si>
  <si>
    <t>10239856</t>
  </si>
  <si>
    <t>4199541</t>
  </si>
  <si>
    <t>10240594</t>
  </si>
  <si>
    <t>4199570</t>
  </si>
  <si>
    <t>BAJAR 2M MA LA MEDIDA DE MALLA</t>
  </si>
  <si>
    <t>10240596</t>
  </si>
  <si>
    <t>4199590</t>
  </si>
  <si>
    <t>10241179</t>
  </si>
  <si>
    <t>4199666</t>
  </si>
  <si>
    <t>10241173</t>
  </si>
  <si>
    <t>4199667</t>
  </si>
  <si>
    <t>GANCHO INFERIOR ROTO</t>
  </si>
  <si>
    <t>10241373</t>
  </si>
  <si>
    <t>4199975</t>
  </si>
  <si>
    <t>PERNO ROTO DEL FRENO DE RODILLO</t>
  </si>
  <si>
    <t>10241831</t>
  </si>
  <si>
    <t>4202019</t>
  </si>
  <si>
    <t>10242611</t>
  </si>
  <si>
    <t>4202835</t>
  </si>
  <si>
    <t>10242847</t>
  </si>
  <si>
    <t>4202867</t>
  </si>
  <si>
    <t>10245038</t>
  </si>
  <si>
    <t>4203936</t>
  </si>
  <si>
    <t>10245037</t>
  </si>
  <si>
    <t>4203937</t>
  </si>
  <si>
    <t>SUBIR 2MM A LA MEDIDA DE MALLA</t>
  </si>
  <si>
    <t>10244184</t>
  </si>
  <si>
    <t>4204007</t>
  </si>
  <si>
    <t>10245590</t>
  </si>
  <si>
    <t>4205058</t>
  </si>
  <si>
    <t>10246090</t>
  </si>
  <si>
    <t>4205061</t>
  </si>
  <si>
    <t>BAJAR 3MM A LA MEDIDA DE MALLA</t>
  </si>
  <si>
    <t>10246413</t>
  </si>
  <si>
    <t>4205166</t>
  </si>
  <si>
    <t>VARIACION EN EL TAMAÑO DE MALLA</t>
  </si>
  <si>
    <t>10247062</t>
  </si>
  <si>
    <t>4206180</t>
  </si>
  <si>
    <t>AUMENTAR 2MM AL TAMAÑO DE MALLA</t>
  </si>
  <si>
    <t>10247005</t>
  </si>
  <si>
    <t>4206187</t>
  </si>
  <si>
    <t>ROTURA DE PERNO DE LA TENSION</t>
  </si>
  <si>
    <t>10246890</t>
  </si>
  <si>
    <t>4206332</t>
  </si>
  <si>
    <t>NO JALA HIÑOS</t>
  </si>
  <si>
    <t>10246113</t>
  </si>
  <si>
    <t>4207275</t>
  </si>
  <si>
    <t>MONTAJE DE PUA DE URDIMBRE</t>
  </si>
  <si>
    <t>10246096</t>
  </si>
  <si>
    <t>4207322</t>
  </si>
  <si>
    <t>ARRANQUE DE MAQUINA NO JALO HILOS</t>
  </si>
  <si>
    <t>10247698</t>
  </si>
  <si>
    <t>4207391</t>
  </si>
  <si>
    <t>10247697</t>
  </si>
  <si>
    <t>4207421</t>
  </si>
  <si>
    <t>10246514</t>
  </si>
  <si>
    <t>4207466</t>
  </si>
  <si>
    <t>FORRO METALICO ROTO</t>
  </si>
  <si>
    <t>10246536</t>
  </si>
  <si>
    <t>4207527</t>
  </si>
  <si>
    <t>SE SUBIO 3 MM A LA MEDIDA DE MALLA</t>
  </si>
  <si>
    <t>10247629</t>
  </si>
  <si>
    <t>4207571</t>
  </si>
  <si>
    <t>PERNO DE TENSION ROTO</t>
  </si>
  <si>
    <t>10247585</t>
  </si>
  <si>
    <t>4207619</t>
  </si>
  <si>
    <t>REGULAR FIJACION DE NUDOS</t>
  </si>
  <si>
    <t>10247580</t>
  </si>
  <si>
    <t>4207620</t>
  </si>
  <si>
    <t>10247375</t>
  </si>
  <si>
    <t>4207639</t>
  </si>
  <si>
    <t>10247256</t>
  </si>
  <si>
    <t>4207668</t>
  </si>
  <si>
    <t>RUIDOS FUERTES</t>
  </si>
  <si>
    <t>10246656</t>
  </si>
  <si>
    <t>4207687</t>
  </si>
  <si>
    <t>GANCHO SUPERIOR ROTO</t>
  </si>
  <si>
    <t>10246742</t>
  </si>
  <si>
    <t>4207839</t>
  </si>
  <si>
    <t>10247248</t>
  </si>
  <si>
    <t>4207919</t>
  </si>
  <si>
    <t>10247158</t>
  </si>
  <si>
    <t>4207930</t>
  </si>
  <si>
    <t>CAMBIO DE MEDIDA DE MALLA</t>
  </si>
  <si>
    <t>10247152</t>
  </si>
  <si>
    <t>4207932</t>
  </si>
  <si>
    <t>10246887</t>
  </si>
  <si>
    <t>4207935</t>
  </si>
  <si>
    <t>REGULACION DE TAMAÑO DE MALLA</t>
  </si>
  <si>
    <t>10248261</t>
  </si>
  <si>
    <t>4208161</t>
  </si>
  <si>
    <t>GANCHO SEPARADOR DOBLADO.</t>
  </si>
  <si>
    <t>10248289</t>
  </si>
  <si>
    <t>4208348</t>
  </si>
  <si>
    <t>SENSOR MAL REGULADO</t>
  </si>
  <si>
    <t>10248505</t>
  </si>
  <si>
    <t>4208705</t>
  </si>
  <si>
    <t>10248788</t>
  </si>
  <si>
    <t>4208853</t>
  </si>
  <si>
    <t>FLOURECENTES QUEMADOS</t>
  </si>
  <si>
    <t>10248493</t>
  </si>
  <si>
    <t>4209080</t>
  </si>
  <si>
    <t>PAÑO NO JALA RODILLO</t>
  </si>
  <si>
    <t>10248728</t>
  </si>
  <si>
    <t>4209689</t>
  </si>
  <si>
    <t>10248726</t>
  </si>
  <si>
    <t>4209690</t>
  </si>
  <si>
    <t>REGULACION DEL ANGULO INFERIOR</t>
  </si>
  <si>
    <t>10249712</t>
  </si>
  <si>
    <t>4210192</t>
  </si>
  <si>
    <t>10249703</t>
  </si>
  <si>
    <t>4210200</t>
  </si>
  <si>
    <t>10249650</t>
  </si>
  <si>
    <t>4210367</t>
  </si>
  <si>
    <t>GANCHOS INFERIORES CHOCAN</t>
  </si>
  <si>
    <t>10249709</t>
  </si>
  <si>
    <t>4210405</t>
  </si>
  <si>
    <t>REVISAR CAIDA DE BARRA</t>
  </si>
  <si>
    <t>10250569</t>
  </si>
  <si>
    <t>4212100</t>
  </si>
  <si>
    <t>PERNO DE FRENO DE URDIMBRE ROTO</t>
  </si>
  <si>
    <t>10251131</t>
  </si>
  <si>
    <t>4212425</t>
  </si>
  <si>
    <t>REVISAR RODILLOS</t>
  </si>
  <si>
    <t>10252050</t>
  </si>
  <si>
    <t>4212650</t>
  </si>
  <si>
    <t>ANGULO INFERIOR DESCENTRADO</t>
  </si>
  <si>
    <t>10251339</t>
  </si>
  <si>
    <t>4212779</t>
  </si>
  <si>
    <t>10251476</t>
  </si>
  <si>
    <t>4212780</t>
  </si>
  <si>
    <t>10251229</t>
  </si>
  <si>
    <t>4212820</t>
  </si>
  <si>
    <t>ROTURA DE PERNO LIMITADOR</t>
  </si>
  <si>
    <t>10251182</t>
  </si>
  <si>
    <t>4212827</t>
  </si>
  <si>
    <t>10252246</t>
  </si>
  <si>
    <t>4214874</t>
  </si>
  <si>
    <t>AJUSTAR PUAS DE URDIMBRE</t>
  </si>
  <si>
    <t>10252247</t>
  </si>
  <si>
    <t>4214875</t>
  </si>
  <si>
    <t>ARREGLAR RUEDAS MESA PORTACARRETE</t>
  </si>
  <si>
    <t>10252560</t>
  </si>
  <si>
    <t>4214904</t>
  </si>
  <si>
    <t>Se encontró maquina parada para regulaci</t>
  </si>
  <si>
    <t>10252709</t>
  </si>
  <si>
    <t>4214945</t>
  </si>
  <si>
    <t>10253123</t>
  </si>
  <si>
    <t>4215042</t>
  </si>
  <si>
    <t>FALLAS A LO ALTO</t>
  </si>
  <si>
    <t>10253132</t>
  </si>
  <si>
    <t>4215043</t>
  </si>
  <si>
    <t>HILO ENGANCHADO</t>
  </si>
  <si>
    <t>10253133</t>
  </si>
  <si>
    <t>4215044</t>
  </si>
  <si>
    <t>REVISAR NO HACE LAZO</t>
  </si>
  <si>
    <t>10253468</t>
  </si>
  <si>
    <t>4215120</t>
  </si>
  <si>
    <t>GANCHO SEPARADOR ROTO</t>
  </si>
  <si>
    <t>10252696</t>
  </si>
  <si>
    <t>4215128</t>
  </si>
  <si>
    <t>MESA LLANTA ROTA</t>
  </si>
  <si>
    <t>10253598</t>
  </si>
  <si>
    <t>4215194</t>
  </si>
  <si>
    <t>PROGRAMACION DE HILERAS</t>
  </si>
  <si>
    <t>10253582</t>
  </si>
  <si>
    <t>4215215</t>
  </si>
  <si>
    <t>CAMBIO DE PRODUCCCION</t>
  </si>
  <si>
    <t>10253505</t>
  </si>
  <si>
    <t>4215237</t>
  </si>
  <si>
    <t>10253734</t>
  </si>
  <si>
    <t>4215581</t>
  </si>
  <si>
    <t>CONTACTO ABIERTO</t>
  </si>
  <si>
    <t>10254667</t>
  </si>
  <si>
    <t>4216182</t>
  </si>
  <si>
    <t>ROTURA DE EJE DE RODILLO</t>
  </si>
  <si>
    <t>10255338</t>
  </si>
  <si>
    <t>4216813</t>
  </si>
  <si>
    <t>10254193</t>
  </si>
  <si>
    <t>4217143</t>
  </si>
  <si>
    <t>10255558</t>
  </si>
  <si>
    <t>4217331</t>
  </si>
  <si>
    <t>10254445</t>
  </si>
  <si>
    <t>4217839</t>
  </si>
  <si>
    <t>10255111</t>
  </si>
  <si>
    <t>4218056</t>
  </si>
  <si>
    <t>10255322</t>
  </si>
  <si>
    <t>4218204</t>
  </si>
  <si>
    <t>10255804</t>
  </si>
  <si>
    <t>4218230</t>
  </si>
  <si>
    <t>10255810</t>
  </si>
  <si>
    <t>4218231</t>
  </si>
  <si>
    <t>BAJAR 3 PUNTOS AL TAMAÑO DE MALLA</t>
  </si>
  <si>
    <t>10256175</t>
  </si>
  <si>
    <t>4218783</t>
  </si>
  <si>
    <t>10256176</t>
  </si>
  <si>
    <t>4218996</t>
  </si>
  <si>
    <t>10257587</t>
  </si>
  <si>
    <t>4220123</t>
  </si>
  <si>
    <t>10257569</t>
  </si>
  <si>
    <t>4220124</t>
  </si>
  <si>
    <t>NO JALA HILOS</t>
  </si>
  <si>
    <t>10257539</t>
  </si>
  <si>
    <t>4220170</t>
  </si>
  <si>
    <t>REGULACION DE SENSOR</t>
  </si>
  <si>
    <t>10257514</t>
  </si>
  <si>
    <t>4220185</t>
  </si>
  <si>
    <t>10257517</t>
  </si>
  <si>
    <t>4220186</t>
  </si>
  <si>
    <t>AJUSTAR 10 PUAS DE FILETA DE URDIMBRE</t>
  </si>
  <si>
    <t>10257509</t>
  </si>
  <si>
    <t>4220211</t>
  </si>
  <si>
    <t>10257510</t>
  </si>
  <si>
    <t>4220212</t>
  </si>
  <si>
    <t>NUDOS FLOJOS</t>
  </si>
  <si>
    <t>10257476</t>
  </si>
  <si>
    <t>4220231</t>
  </si>
  <si>
    <t>10257391</t>
  </si>
  <si>
    <t>4220264</t>
  </si>
  <si>
    <t>10257261</t>
  </si>
  <si>
    <t>4220337</t>
  </si>
  <si>
    <t>BAJAR 1MM A LA MEDIDA DE MALLA</t>
  </si>
  <si>
    <t>10257244</t>
  </si>
  <si>
    <t>4220352</t>
  </si>
  <si>
    <t>10259002</t>
  </si>
  <si>
    <t>4221577</t>
  </si>
  <si>
    <t>10258875</t>
  </si>
  <si>
    <t>4221611</t>
  </si>
  <si>
    <t>14 BALANCINES DE URDIMBRE ROTO</t>
  </si>
  <si>
    <t>10258815</t>
  </si>
  <si>
    <t>4221617</t>
  </si>
  <si>
    <t>COLOCAR LLANTA A LA MESA</t>
  </si>
  <si>
    <t>10258838</t>
  </si>
  <si>
    <t>4221666</t>
  </si>
  <si>
    <t>10258614</t>
  </si>
  <si>
    <t>4221700</t>
  </si>
  <si>
    <t>10258549</t>
  </si>
  <si>
    <t>4221751</t>
  </si>
  <si>
    <t>10258540</t>
  </si>
  <si>
    <t>4221786</t>
  </si>
  <si>
    <t>SUBIR 3MM A LA MEDIDA DE MALLA</t>
  </si>
  <si>
    <t>10258836</t>
  </si>
  <si>
    <t>4221930</t>
  </si>
  <si>
    <t>REVISAR EL MANDO DE BOTONERA</t>
  </si>
  <si>
    <t>10258840</t>
  </si>
  <si>
    <t>4221987</t>
  </si>
  <si>
    <t>FALLA ELECTRICA</t>
  </si>
  <si>
    <t>10259734</t>
  </si>
  <si>
    <t>4222521</t>
  </si>
  <si>
    <t>10259732</t>
  </si>
  <si>
    <t>4222522</t>
  </si>
  <si>
    <t>CORREGIR 01 POSICION CON PELUSEO FUERTE</t>
  </si>
  <si>
    <t>10260444</t>
  </si>
  <si>
    <t>4223178</t>
  </si>
  <si>
    <t>10259863</t>
  </si>
  <si>
    <t>4223283</t>
  </si>
  <si>
    <t>PAÑO ENREDADO</t>
  </si>
  <si>
    <t>10260872</t>
  </si>
  <si>
    <t>4223538</t>
  </si>
  <si>
    <t>BAJAR 2 MM MALLA</t>
  </si>
  <si>
    <t>10262864</t>
  </si>
  <si>
    <t>4225376</t>
  </si>
  <si>
    <t>3MM BAJAR TAMAÑO MALLA</t>
  </si>
  <si>
    <t>10262832</t>
  </si>
  <si>
    <t>4225568</t>
  </si>
  <si>
    <t>2MM BAJAR TAMAÑO MALLA</t>
  </si>
  <si>
    <t>10261883</t>
  </si>
  <si>
    <t>4226084</t>
  </si>
  <si>
    <t>10262150</t>
  </si>
  <si>
    <t>4226169</t>
  </si>
  <si>
    <t>MARCA TENSIÓN BAJA</t>
  </si>
  <si>
    <t>10261941</t>
  </si>
  <si>
    <t>4226337</t>
  </si>
  <si>
    <t>RODILLO PRINCIPAL DESOLDADO</t>
  </si>
  <si>
    <t>10264166</t>
  </si>
  <si>
    <t>4227089</t>
  </si>
  <si>
    <t>INTERVENCIÓN SENSOR DE PESA</t>
  </si>
  <si>
    <t>10263341</t>
  </si>
  <si>
    <t>4227567</t>
  </si>
  <si>
    <t>2MM SUBIR TAMAÑO MALLA</t>
  </si>
  <si>
    <t>10263482</t>
  </si>
  <si>
    <t>4227651</t>
  </si>
  <si>
    <t>10263672</t>
  </si>
  <si>
    <t>4227916</t>
  </si>
  <si>
    <t>MARCA SENSOR URDIMBRE TEMPLADO</t>
  </si>
  <si>
    <t>10264019</t>
  </si>
  <si>
    <t>4228183</t>
  </si>
  <si>
    <t>PERNO ROTO DE FRENO ZAPATA</t>
  </si>
  <si>
    <t>10264779</t>
  </si>
  <si>
    <t>4228375</t>
  </si>
  <si>
    <t>MÁQ. NO ENCIENDE</t>
  </si>
  <si>
    <t>10265026</t>
  </si>
  <si>
    <t>4228805</t>
  </si>
  <si>
    <t>FALLA ELÉCTRICA MANDO DE ARRANQUE</t>
  </si>
  <si>
    <t>Aviso</t>
  </si>
  <si>
    <t>Orden</t>
  </si>
  <si>
    <t>Clase de orden</t>
  </si>
  <si>
    <t>Fecha entrada</t>
  </si>
  <si>
    <t>Texto breve</t>
  </si>
  <si>
    <t>Pto.tbjo.responsable</t>
  </si>
  <si>
    <t>Inicio programado</t>
  </si>
  <si>
    <t>Fecha inicio real</t>
  </si>
  <si>
    <t>Hora inicio real</t>
  </si>
  <si>
    <t>Fecha real de fin de la orden</t>
  </si>
  <si>
    <t>Fin real (hora)</t>
  </si>
  <si>
    <t>Fe.liberación real</t>
  </si>
  <si>
    <t>x</t>
  </si>
  <si>
    <t>C/P</t>
  </si>
  <si>
    <t>X</t>
  </si>
  <si>
    <t>PAÑO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</si>
</sst>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6" formatCode="[$-F400]h:mm:ss\ AM/PM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22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46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T465"/>
  <sheetViews>
    <sheetView tabSelected="1" topLeftCell="H1" workbookViewId="0">
      <pane ySplit="2" topLeftCell="A3" activePane="bottomLeft" state="frozen"/>
      <selection pane="bottomLeft" activeCell="T48" sqref="T48"/>
    </sheetView>
  </sheetViews>
  <sheetFormatPr baseColWidth="10" defaultColWidth="9.140625" defaultRowHeight="12.75" x14ac:dyDescent="0.2"/>
  <cols>
    <col min="1" max="1" width="10" bestFit="1" customWidth="1"/>
    <col min="2" max="2" width="9" bestFit="1" customWidth="1"/>
    <col min="3" max="3" width="6" bestFit="1" customWidth="1"/>
    <col min="4" max="5" width="6" style="11" customWidth="1"/>
    <col min="6" max="6" width="15" bestFit="1" customWidth="1"/>
    <col min="7" max="7" width="42" bestFit="1" customWidth="1"/>
    <col min="8" max="8" width="9" bestFit="1" customWidth="1"/>
    <col min="9" max="10" width="19" bestFit="1" customWidth="1"/>
    <col min="11" max="11" width="18" bestFit="1" customWidth="1"/>
    <col min="12" max="12" width="13" bestFit="1" customWidth="1"/>
    <col min="13" max="13" width="17" bestFit="1" customWidth="1"/>
    <col min="14" max="14" width="20" bestFit="1" customWidth="1"/>
    <col min="17" max="18" width="15.28515625" bestFit="1" customWidth="1"/>
    <col min="20" max="20" width="14.28515625" bestFit="1" customWidth="1"/>
  </cols>
  <sheetData>
    <row r="1" spans="1:20" ht="38.25" x14ac:dyDescent="0.2">
      <c r="A1" s="1" t="s">
        <v>1254</v>
      </c>
      <c r="B1" s="1" t="s">
        <v>1255</v>
      </c>
      <c r="C1" s="8" t="s">
        <v>1256</v>
      </c>
      <c r="D1" s="9" t="s">
        <v>1267</v>
      </c>
      <c r="E1" s="9" t="s">
        <v>1269</v>
      </c>
      <c r="F1" s="1" t="s">
        <v>1257</v>
      </c>
      <c r="G1" s="1" t="s">
        <v>1258</v>
      </c>
      <c r="H1" s="8" t="s">
        <v>1259</v>
      </c>
      <c r="I1" s="1" t="s">
        <v>1260</v>
      </c>
      <c r="J1" s="1" t="s">
        <v>1261</v>
      </c>
      <c r="K1" s="1" t="s">
        <v>1262</v>
      </c>
      <c r="L1" s="8" t="s">
        <v>1263</v>
      </c>
      <c r="M1" s="1" t="s">
        <v>1264</v>
      </c>
      <c r="N1" s="1" t="s">
        <v>1265</v>
      </c>
      <c r="T1" s="14">
        <f>SUBTOTAL(109,S:S)</f>
        <v>2.2090162037347909</v>
      </c>
    </row>
    <row r="2" spans="1:20" hidden="1" x14ac:dyDescent="0.2">
      <c r="A2" s="2" t="s">
        <v>0</v>
      </c>
      <c r="B2" s="2" t="s">
        <v>0</v>
      </c>
      <c r="C2" s="2" t="s">
        <v>0</v>
      </c>
      <c r="D2" s="10"/>
      <c r="E2" s="10"/>
      <c r="F2" s="3"/>
      <c r="G2" s="2" t="s">
        <v>0</v>
      </c>
      <c r="H2" s="2" t="s">
        <v>0</v>
      </c>
      <c r="I2" s="3"/>
      <c r="J2" s="3"/>
      <c r="K2" s="4"/>
      <c r="L2" s="3"/>
      <c r="M2" s="4"/>
      <c r="N2" s="3"/>
    </row>
    <row r="3" spans="1:20" hidden="1" x14ac:dyDescent="0.2">
      <c r="A3" t="s">
        <v>1</v>
      </c>
      <c r="B3" t="s">
        <v>2</v>
      </c>
      <c r="C3" t="s">
        <v>3</v>
      </c>
      <c r="D3" s="11" t="s">
        <v>1266</v>
      </c>
      <c r="F3" s="5">
        <v>42145</v>
      </c>
      <c r="G3" t="s">
        <v>4</v>
      </c>
      <c r="H3" t="s">
        <v>5</v>
      </c>
      <c r="I3" s="5">
        <v>42144</v>
      </c>
      <c r="J3" s="5">
        <v>42144</v>
      </c>
      <c r="K3" s="6">
        <v>0.41944444444444001</v>
      </c>
      <c r="L3" s="5">
        <v>42144</v>
      </c>
      <c r="M3" s="6">
        <v>0.44777777777778</v>
      </c>
      <c r="N3" s="5">
        <v>42145</v>
      </c>
      <c r="Q3" s="12">
        <f>J3+K3</f>
        <v>42144.419444444444</v>
      </c>
      <c r="R3" s="12">
        <f>L3+M3</f>
        <v>42144.447777777779</v>
      </c>
      <c r="S3" s="13">
        <f>R3-Q3</f>
        <v>2.8333333335467614E-2</v>
      </c>
    </row>
    <row r="4" spans="1:20" hidden="1" x14ac:dyDescent="0.2">
      <c r="A4" t="s">
        <v>6</v>
      </c>
      <c r="B4" t="s">
        <v>7</v>
      </c>
      <c r="C4" t="s">
        <v>3</v>
      </c>
      <c r="D4" s="11" t="s">
        <v>1266</v>
      </c>
      <c r="F4" s="5">
        <v>42158</v>
      </c>
      <c r="G4" t="s">
        <v>8</v>
      </c>
      <c r="H4" t="s">
        <v>5</v>
      </c>
      <c r="I4" s="5">
        <v>42156</v>
      </c>
      <c r="J4" s="5">
        <v>42156</v>
      </c>
      <c r="K4" s="6">
        <v>0.43263888888889002</v>
      </c>
      <c r="L4" s="5">
        <v>42156</v>
      </c>
      <c r="M4" s="6">
        <v>0.46097222222222001</v>
      </c>
      <c r="N4" s="5">
        <v>42158</v>
      </c>
      <c r="Q4" s="12">
        <f t="shared" ref="Q4:Q67" si="0">J4+K4</f>
        <v>42156.432638888888</v>
      </c>
      <c r="R4" s="12">
        <f t="shared" ref="R4:R67" si="1">L4+M4</f>
        <v>42156.460972222223</v>
      </c>
      <c r="S4" s="13">
        <f t="shared" ref="S4:S67" si="2">R4-Q4</f>
        <v>2.8333333335467614E-2</v>
      </c>
    </row>
    <row r="5" spans="1:20" x14ac:dyDescent="0.2">
      <c r="A5" t="s">
        <v>9</v>
      </c>
      <c r="B5" t="s">
        <v>10</v>
      </c>
      <c r="C5" t="s">
        <v>3</v>
      </c>
      <c r="E5" s="11" t="s">
        <v>1268</v>
      </c>
      <c r="F5" s="5">
        <v>42160</v>
      </c>
      <c r="G5" t="s">
        <v>11</v>
      </c>
      <c r="H5" t="s">
        <v>5</v>
      </c>
      <c r="I5" s="5">
        <v>42160</v>
      </c>
      <c r="J5" s="5">
        <v>42147</v>
      </c>
      <c r="K5" s="6">
        <v>0.75</v>
      </c>
      <c r="L5" s="5">
        <v>42147</v>
      </c>
      <c r="M5" s="6">
        <v>0.76398148148148004</v>
      </c>
      <c r="N5" s="5">
        <v>42160</v>
      </c>
      <c r="Q5" s="12">
        <f t="shared" si="0"/>
        <v>42147.75</v>
      </c>
      <c r="R5" s="12">
        <f t="shared" si="1"/>
        <v>42147.763981481483</v>
      </c>
      <c r="S5" s="13">
        <f t="shared" si="2"/>
        <v>1.3981481482915115E-2</v>
      </c>
    </row>
    <row r="6" spans="1:20" hidden="1" x14ac:dyDescent="0.2">
      <c r="A6" t="s">
        <v>12</v>
      </c>
      <c r="B6" t="s">
        <v>13</v>
      </c>
      <c r="C6" t="s">
        <v>3</v>
      </c>
      <c r="F6" s="5">
        <v>42161</v>
      </c>
      <c r="G6" t="s">
        <v>14</v>
      </c>
      <c r="H6" t="s">
        <v>15</v>
      </c>
      <c r="I6" s="5">
        <v>42161</v>
      </c>
      <c r="J6" s="5">
        <v>42130</v>
      </c>
      <c r="K6" s="6">
        <v>0.42430555555555999</v>
      </c>
      <c r="L6" s="5">
        <v>42130</v>
      </c>
      <c r="M6" s="6">
        <v>0.48650462962962998</v>
      </c>
      <c r="N6" s="5">
        <v>42161</v>
      </c>
      <c r="Q6" s="12">
        <f t="shared" si="0"/>
        <v>42130.424305555556</v>
      </c>
      <c r="R6" s="12">
        <f t="shared" si="1"/>
        <v>42130.486504629633</v>
      </c>
      <c r="S6" s="13">
        <f t="shared" si="2"/>
        <v>6.2199074076488614E-2</v>
      </c>
    </row>
    <row r="7" spans="1:20" hidden="1" x14ac:dyDescent="0.2">
      <c r="A7" t="s">
        <v>16</v>
      </c>
      <c r="B7" t="s">
        <v>17</v>
      </c>
      <c r="C7" t="s">
        <v>3</v>
      </c>
      <c r="F7" s="5">
        <v>42166</v>
      </c>
      <c r="G7" t="s">
        <v>18</v>
      </c>
      <c r="H7" t="s">
        <v>5</v>
      </c>
      <c r="I7" s="5">
        <v>42166</v>
      </c>
      <c r="J7" s="5">
        <v>42166</v>
      </c>
      <c r="K7" s="6">
        <v>0.33333333333332998</v>
      </c>
      <c r="L7" s="5">
        <v>42166</v>
      </c>
      <c r="M7" s="6">
        <v>0.66696759259258998</v>
      </c>
      <c r="N7" s="5">
        <v>42166</v>
      </c>
      <c r="Q7" s="12">
        <f t="shared" si="0"/>
        <v>42166.333333333336</v>
      </c>
      <c r="R7" s="12">
        <f t="shared" si="1"/>
        <v>42166.666967592595</v>
      </c>
      <c r="S7" s="13">
        <f t="shared" si="2"/>
        <v>0.33363425925927004</v>
      </c>
    </row>
    <row r="8" spans="1:20" hidden="1" x14ac:dyDescent="0.2">
      <c r="A8" t="s">
        <v>19</v>
      </c>
      <c r="B8" t="s">
        <v>20</v>
      </c>
      <c r="C8" t="s">
        <v>3</v>
      </c>
      <c r="F8" s="5">
        <v>42168</v>
      </c>
      <c r="G8" t="s">
        <v>21</v>
      </c>
      <c r="H8" t="s">
        <v>5</v>
      </c>
      <c r="I8" s="5">
        <v>42167</v>
      </c>
      <c r="J8" s="5">
        <v>42167</v>
      </c>
      <c r="K8" s="6">
        <v>0.17361111111110999</v>
      </c>
      <c r="L8" s="5">
        <v>42167</v>
      </c>
      <c r="M8" s="6">
        <v>0.20539351851852</v>
      </c>
      <c r="N8" s="5">
        <v>42168</v>
      </c>
      <c r="Q8" s="12">
        <f t="shared" si="0"/>
        <v>42167.173611111109</v>
      </c>
      <c r="R8" s="12">
        <f t="shared" si="1"/>
        <v>42167.205393518518</v>
      </c>
      <c r="S8" s="13">
        <f t="shared" si="2"/>
        <v>3.178240740817273E-2</v>
      </c>
    </row>
    <row r="9" spans="1:20" x14ac:dyDescent="0.2">
      <c r="A9" t="s">
        <v>22</v>
      </c>
      <c r="B9" t="s">
        <v>23</v>
      </c>
      <c r="C9" t="s">
        <v>3</v>
      </c>
      <c r="E9" s="11" t="s">
        <v>1268</v>
      </c>
      <c r="F9" s="5">
        <v>42182</v>
      </c>
      <c r="G9" t="s">
        <v>24</v>
      </c>
      <c r="H9" t="s">
        <v>5</v>
      </c>
      <c r="I9" s="5">
        <v>42181</v>
      </c>
      <c r="J9" s="5">
        <v>42181</v>
      </c>
      <c r="K9" s="6">
        <v>0.66666666666666996</v>
      </c>
      <c r="L9" s="5">
        <v>42181</v>
      </c>
      <c r="M9" s="6">
        <v>0.69451388888888999</v>
      </c>
      <c r="N9" s="5">
        <v>42182</v>
      </c>
      <c r="Q9" s="12">
        <f t="shared" si="0"/>
        <v>42181.666666666664</v>
      </c>
      <c r="R9" s="12">
        <f t="shared" si="1"/>
        <v>42181.694513888891</v>
      </c>
      <c r="S9" s="13">
        <f t="shared" si="2"/>
        <v>2.7847222227137536E-2</v>
      </c>
    </row>
    <row r="10" spans="1:20" x14ac:dyDescent="0.2">
      <c r="A10" t="s">
        <v>25</v>
      </c>
      <c r="B10" t="s">
        <v>26</v>
      </c>
      <c r="C10" t="s">
        <v>3</v>
      </c>
      <c r="E10" s="11" t="s">
        <v>1268</v>
      </c>
      <c r="F10" s="5">
        <v>42182</v>
      </c>
      <c r="G10" t="s">
        <v>27</v>
      </c>
      <c r="H10" t="s">
        <v>5</v>
      </c>
      <c r="I10" s="5">
        <v>42182</v>
      </c>
      <c r="J10" s="5">
        <v>42181</v>
      </c>
      <c r="K10" s="6">
        <v>0.89593750000000005</v>
      </c>
      <c r="L10" s="5">
        <v>42181</v>
      </c>
      <c r="M10" s="6">
        <v>0.95843750000000005</v>
      </c>
      <c r="N10" s="5">
        <v>42182</v>
      </c>
      <c r="Q10" s="12">
        <f t="shared" si="0"/>
        <v>42181.895937499998</v>
      </c>
      <c r="R10" s="12">
        <f t="shared" si="1"/>
        <v>42181.958437499998</v>
      </c>
      <c r="S10" s="13">
        <f t="shared" si="2"/>
        <v>6.25E-2</v>
      </c>
    </row>
    <row r="11" spans="1:20" hidden="1" x14ac:dyDescent="0.2">
      <c r="A11" t="s">
        <v>28</v>
      </c>
      <c r="B11" t="s">
        <v>29</v>
      </c>
      <c r="C11" t="s">
        <v>3</v>
      </c>
      <c r="F11" s="5">
        <v>42200</v>
      </c>
      <c r="G11" t="s">
        <v>30</v>
      </c>
      <c r="H11" t="s">
        <v>5</v>
      </c>
      <c r="I11" s="5">
        <v>42196</v>
      </c>
      <c r="J11" s="5">
        <v>42196</v>
      </c>
      <c r="K11" s="6">
        <v>0.92361111111111005</v>
      </c>
      <c r="L11" s="5">
        <v>42196</v>
      </c>
      <c r="M11" s="6">
        <v>0.95853009259259003</v>
      </c>
      <c r="N11" s="5">
        <v>42200</v>
      </c>
      <c r="Q11" s="12">
        <f t="shared" si="0"/>
        <v>42196.923611111109</v>
      </c>
      <c r="R11" s="12">
        <f t="shared" si="1"/>
        <v>42196.95853009259</v>
      </c>
      <c r="S11" s="13">
        <f t="shared" si="2"/>
        <v>3.4918981480586808E-2</v>
      </c>
    </row>
    <row r="12" spans="1:20" hidden="1" x14ac:dyDescent="0.2">
      <c r="A12" t="s">
        <v>31</v>
      </c>
      <c r="B12" t="s">
        <v>32</v>
      </c>
      <c r="C12" t="s">
        <v>3</v>
      </c>
      <c r="F12" s="5">
        <v>42207</v>
      </c>
      <c r="G12" t="s">
        <v>33</v>
      </c>
      <c r="H12" t="s">
        <v>5</v>
      </c>
      <c r="I12" s="5">
        <v>42203</v>
      </c>
      <c r="J12" s="5">
        <v>42203</v>
      </c>
      <c r="K12" s="6">
        <v>1.7361111111110002E-2</v>
      </c>
      <c r="L12" s="5">
        <v>42203</v>
      </c>
      <c r="M12" s="6">
        <v>5.9641203703699998E-2</v>
      </c>
      <c r="N12" s="5">
        <v>42207</v>
      </c>
      <c r="Q12" s="12">
        <f t="shared" si="0"/>
        <v>42203.017361111109</v>
      </c>
      <c r="R12" s="12">
        <f t="shared" si="1"/>
        <v>42203.059641203705</v>
      </c>
      <c r="S12" s="13">
        <f t="shared" si="2"/>
        <v>4.2280092595319729E-2</v>
      </c>
    </row>
    <row r="13" spans="1:20" hidden="1" x14ac:dyDescent="0.2">
      <c r="A13" t="s">
        <v>34</v>
      </c>
      <c r="B13" t="s">
        <v>35</v>
      </c>
      <c r="C13" t="s">
        <v>3</v>
      </c>
      <c r="F13" s="5">
        <v>42217</v>
      </c>
      <c r="G13" t="s">
        <v>36</v>
      </c>
      <c r="H13" t="s">
        <v>5</v>
      </c>
      <c r="I13" s="5">
        <v>42217</v>
      </c>
      <c r="J13" s="5">
        <v>42168</v>
      </c>
      <c r="K13" s="6">
        <v>0.70833333333333004</v>
      </c>
      <c r="L13" s="5">
        <v>42168</v>
      </c>
      <c r="M13" s="6">
        <v>0.77149305555556003</v>
      </c>
      <c r="N13" s="5">
        <v>42217</v>
      </c>
      <c r="Q13" s="12">
        <f t="shared" si="0"/>
        <v>42168.708333333336</v>
      </c>
      <c r="R13" s="12">
        <f t="shared" si="1"/>
        <v>42168.771493055552</v>
      </c>
      <c r="S13" s="13">
        <f t="shared" si="2"/>
        <v>6.3159722216369119E-2</v>
      </c>
    </row>
    <row r="14" spans="1:20" hidden="1" x14ac:dyDescent="0.2">
      <c r="A14" t="s">
        <v>37</v>
      </c>
      <c r="B14" t="s">
        <v>38</v>
      </c>
      <c r="C14" t="s">
        <v>3</v>
      </c>
      <c r="D14" s="11" t="s">
        <v>1266</v>
      </c>
      <c r="F14" s="5">
        <v>42228</v>
      </c>
      <c r="G14" t="s">
        <v>39</v>
      </c>
      <c r="H14" t="s">
        <v>5</v>
      </c>
      <c r="I14" s="5">
        <v>42226</v>
      </c>
      <c r="J14" s="5">
        <v>42226</v>
      </c>
      <c r="K14" s="6">
        <v>0.57430555555555995</v>
      </c>
      <c r="L14" s="5">
        <v>42226</v>
      </c>
      <c r="M14" s="6">
        <v>0.59753472222222004</v>
      </c>
      <c r="N14" s="5">
        <v>42228</v>
      </c>
      <c r="Q14" s="12">
        <f t="shared" si="0"/>
        <v>42226.574305555558</v>
      </c>
      <c r="R14" s="12">
        <f t="shared" si="1"/>
        <v>42226.597534722219</v>
      </c>
      <c r="S14" s="13">
        <f t="shared" si="2"/>
        <v>2.3229166661622003E-2</v>
      </c>
    </row>
    <row r="15" spans="1:20" hidden="1" x14ac:dyDescent="0.2">
      <c r="A15" t="s">
        <v>40</v>
      </c>
      <c r="B15" t="s">
        <v>41</v>
      </c>
      <c r="C15" t="s">
        <v>3</v>
      </c>
      <c r="D15" s="11" t="s">
        <v>1266</v>
      </c>
      <c r="F15" s="5">
        <v>42229</v>
      </c>
      <c r="G15" t="s">
        <v>39</v>
      </c>
      <c r="H15" t="s">
        <v>5</v>
      </c>
      <c r="I15" s="5">
        <v>42228</v>
      </c>
      <c r="J15" s="5">
        <v>42228</v>
      </c>
      <c r="K15" s="6">
        <v>0.60833333333332995</v>
      </c>
      <c r="L15" s="5">
        <v>42228</v>
      </c>
      <c r="M15" s="6">
        <v>0.62928240740741004</v>
      </c>
      <c r="N15" s="5">
        <v>42229</v>
      </c>
      <c r="Q15" s="12">
        <f t="shared" si="0"/>
        <v>42228.60833333333</v>
      </c>
      <c r="R15" s="12">
        <f t="shared" si="1"/>
        <v>42228.629282407404</v>
      </c>
      <c r="S15" s="13">
        <f t="shared" si="2"/>
        <v>2.0949074074451346E-2</v>
      </c>
    </row>
    <row r="16" spans="1:20" hidden="1" x14ac:dyDescent="0.2">
      <c r="A16" t="s">
        <v>42</v>
      </c>
      <c r="B16" t="s">
        <v>43</v>
      </c>
      <c r="C16" t="s">
        <v>3</v>
      </c>
      <c r="D16" s="11" t="s">
        <v>1266</v>
      </c>
      <c r="F16" s="5">
        <v>42230</v>
      </c>
      <c r="G16" t="s">
        <v>44</v>
      </c>
      <c r="H16" t="s">
        <v>5</v>
      </c>
      <c r="I16" s="5">
        <v>42229</v>
      </c>
      <c r="J16" s="5">
        <v>42229</v>
      </c>
      <c r="K16" s="6">
        <v>1.388888888889E-2</v>
      </c>
      <c r="L16" s="5">
        <v>42229</v>
      </c>
      <c r="M16" s="6">
        <v>4.2175925925930002E-2</v>
      </c>
      <c r="N16" s="5">
        <v>42230</v>
      </c>
      <c r="Q16" s="12">
        <f t="shared" si="0"/>
        <v>42229.013888888891</v>
      </c>
      <c r="R16" s="12">
        <f t="shared" si="1"/>
        <v>42229.042175925926</v>
      </c>
      <c r="S16" s="13">
        <f t="shared" si="2"/>
        <v>2.8287037035624962E-2</v>
      </c>
    </row>
    <row r="17" spans="1:19" hidden="1" x14ac:dyDescent="0.2">
      <c r="A17" t="s">
        <v>45</v>
      </c>
      <c r="B17" t="s">
        <v>46</v>
      </c>
      <c r="C17" t="s">
        <v>3</v>
      </c>
      <c r="F17" s="5">
        <v>42231</v>
      </c>
      <c r="G17" t="s">
        <v>47</v>
      </c>
      <c r="H17" t="s">
        <v>5</v>
      </c>
      <c r="I17" s="5">
        <v>42230</v>
      </c>
      <c r="J17" s="5">
        <v>42230</v>
      </c>
      <c r="K17" s="6">
        <v>0.34722222222221999</v>
      </c>
      <c r="L17" s="5">
        <v>42231</v>
      </c>
      <c r="M17" s="6">
        <v>0.37510416666667001</v>
      </c>
      <c r="N17" s="5">
        <v>42231</v>
      </c>
      <c r="Q17" s="12">
        <f t="shared" si="0"/>
        <v>42230.347222222219</v>
      </c>
      <c r="R17" s="12">
        <f t="shared" si="1"/>
        <v>42231.375104166669</v>
      </c>
      <c r="S17" s="13">
        <f t="shared" si="2"/>
        <v>1.0278819444502005</v>
      </c>
    </row>
    <row r="18" spans="1:19" hidden="1" x14ac:dyDescent="0.2">
      <c r="A18" t="s">
        <v>48</v>
      </c>
      <c r="B18" t="s">
        <v>49</v>
      </c>
      <c r="C18" t="s">
        <v>3</v>
      </c>
      <c r="F18" s="5">
        <v>42233</v>
      </c>
      <c r="G18" t="s">
        <v>50</v>
      </c>
      <c r="H18" t="s">
        <v>5</v>
      </c>
      <c r="I18" s="5">
        <v>42230</v>
      </c>
      <c r="J18" s="5">
        <v>42229</v>
      </c>
      <c r="K18" s="6">
        <v>0.95833333333333004</v>
      </c>
      <c r="L18" s="5">
        <v>42229</v>
      </c>
      <c r="M18" s="6">
        <v>0.96908564814815001</v>
      </c>
      <c r="N18" s="5">
        <v>42233</v>
      </c>
      <c r="Q18" s="12">
        <f t="shared" si="0"/>
        <v>42229.958333333336</v>
      </c>
      <c r="R18" s="12">
        <f t="shared" si="1"/>
        <v>42229.969085648147</v>
      </c>
      <c r="S18" s="13">
        <f t="shared" si="2"/>
        <v>1.0752314810815733E-2</v>
      </c>
    </row>
    <row r="19" spans="1:19" hidden="1" x14ac:dyDescent="0.2">
      <c r="A19" t="s">
        <v>51</v>
      </c>
      <c r="B19" t="s">
        <v>52</v>
      </c>
      <c r="C19" t="s">
        <v>3</v>
      </c>
      <c r="F19" s="5">
        <v>42233</v>
      </c>
      <c r="G19" t="s">
        <v>53</v>
      </c>
      <c r="H19" t="s">
        <v>5</v>
      </c>
      <c r="I19" s="5">
        <v>42231</v>
      </c>
      <c r="J19" s="5">
        <v>42231</v>
      </c>
      <c r="K19" s="6">
        <v>0.39861111111110997</v>
      </c>
      <c r="L19" s="5">
        <v>42231</v>
      </c>
      <c r="M19" s="6">
        <v>0.40976851851851998</v>
      </c>
      <c r="N19" s="5">
        <v>42233</v>
      </c>
      <c r="Q19" s="12">
        <f t="shared" si="0"/>
        <v>42231.398611111108</v>
      </c>
      <c r="R19" s="12">
        <f t="shared" si="1"/>
        <v>42231.409768518519</v>
      </c>
      <c r="S19" s="13">
        <f t="shared" si="2"/>
        <v>1.1157407410792075E-2</v>
      </c>
    </row>
    <row r="20" spans="1:19" x14ac:dyDescent="0.2">
      <c r="A20" t="s">
        <v>54</v>
      </c>
      <c r="B20" t="s">
        <v>55</v>
      </c>
      <c r="C20" t="s">
        <v>3</v>
      </c>
      <c r="E20" s="11" t="s">
        <v>1268</v>
      </c>
      <c r="F20" s="5">
        <v>42234</v>
      </c>
      <c r="G20" t="s">
        <v>56</v>
      </c>
      <c r="H20" t="s">
        <v>5</v>
      </c>
      <c r="I20" s="5">
        <v>42233</v>
      </c>
      <c r="J20" s="5">
        <v>42233</v>
      </c>
      <c r="K20" s="6">
        <v>0.40277777777778001</v>
      </c>
      <c r="L20" s="5">
        <v>42233</v>
      </c>
      <c r="M20" s="6">
        <v>0.40978009259259002</v>
      </c>
      <c r="N20" s="5">
        <v>42234</v>
      </c>
      <c r="Q20" s="12">
        <f t="shared" si="0"/>
        <v>42233.402777777781</v>
      </c>
      <c r="R20" s="12">
        <f t="shared" si="1"/>
        <v>42233.409780092596</v>
      </c>
      <c r="S20" s="13">
        <f t="shared" si="2"/>
        <v>7.0023148145992309E-3</v>
      </c>
    </row>
    <row r="21" spans="1:19" x14ac:dyDescent="0.2">
      <c r="A21" t="s">
        <v>57</v>
      </c>
      <c r="B21" t="s">
        <v>58</v>
      </c>
      <c r="C21" t="s">
        <v>3</v>
      </c>
      <c r="E21" s="11" t="s">
        <v>1268</v>
      </c>
      <c r="F21" s="5">
        <v>42241</v>
      </c>
      <c r="G21" t="s">
        <v>59</v>
      </c>
      <c r="H21" t="s">
        <v>5</v>
      </c>
      <c r="I21" s="5">
        <v>42238</v>
      </c>
      <c r="J21" s="5">
        <v>42238</v>
      </c>
      <c r="K21" s="6">
        <v>0.17361111111110999</v>
      </c>
      <c r="L21" s="5">
        <v>42238</v>
      </c>
      <c r="M21" s="6">
        <v>0.19164351851851999</v>
      </c>
      <c r="N21" s="5">
        <v>42241</v>
      </c>
      <c r="Q21" s="12">
        <f t="shared" si="0"/>
        <v>42238.173611111109</v>
      </c>
      <c r="R21" s="12">
        <f t="shared" si="1"/>
        <v>42238.191643518519</v>
      </c>
      <c r="S21" s="13">
        <f t="shared" si="2"/>
        <v>1.803240740991896E-2</v>
      </c>
    </row>
    <row r="22" spans="1:19" x14ac:dyDescent="0.2">
      <c r="A22" t="s">
        <v>60</v>
      </c>
      <c r="B22" t="s">
        <v>61</v>
      </c>
      <c r="C22" t="s">
        <v>3</v>
      </c>
      <c r="E22" s="11" t="s">
        <v>1268</v>
      </c>
      <c r="F22" s="5">
        <v>42244</v>
      </c>
      <c r="G22" t="s">
        <v>62</v>
      </c>
      <c r="H22" t="s">
        <v>5</v>
      </c>
      <c r="I22" s="5">
        <v>42240</v>
      </c>
      <c r="J22" s="5">
        <v>42240</v>
      </c>
      <c r="K22" s="6">
        <v>0.64444444444444005</v>
      </c>
      <c r="L22" s="5">
        <v>42240</v>
      </c>
      <c r="M22" s="6">
        <v>0.65143518518518995</v>
      </c>
      <c r="N22" s="5">
        <v>42244</v>
      </c>
      <c r="Q22" s="12">
        <f t="shared" si="0"/>
        <v>42240.644444444442</v>
      </c>
      <c r="R22" s="12">
        <f t="shared" si="1"/>
        <v>42240.651435185187</v>
      </c>
      <c r="S22" s="13">
        <f t="shared" si="2"/>
        <v>6.9907407450955361E-3</v>
      </c>
    </row>
    <row r="23" spans="1:19" x14ac:dyDescent="0.2">
      <c r="A23" t="s">
        <v>63</v>
      </c>
      <c r="B23" t="s">
        <v>64</v>
      </c>
      <c r="C23" t="s">
        <v>3</v>
      </c>
      <c r="E23" s="11" t="s">
        <v>1268</v>
      </c>
      <c r="F23" s="5">
        <v>42244</v>
      </c>
      <c r="G23" t="s">
        <v>62</v>
      </c>
      <c r="H23" t="s">
        <v>5</v>
      </c>
      <c r="I23" s="5">
        <v>42241</v>
      </c>
      <c r="J23" s="5">
        <v>42241</v>
      </c>
      <c r="K23" s="6">
        <v>0.44305555555555998</v>
      </c>
      <c r="L23" s="5">
        <v>42241</v>
      </c>
      <c r="M23" s="6">
        <v>0.45055555555555998</v>
      </c>
      <c r="N23" s="5">
        <v>42244</v>
      </c>
      <c r="Q23" s="12">
        <f t="shared" si="0"/>
        <v>42241.443055555559</v>
      </c>
      <c r="R23" s="12">
        <f t="shared" si="1"/>
        <v>42241.450555555559</v>
      </c>
      <c r="S23" s="13">
        <f t="shared" si="2"/>
        <v>7.4999999997089617E-3</v>
      </c>
    </row>
    <row r="24" spans="1:19" hidden="1" x14ac:dyDescent="0.2">
      <c r="A24" t="s">
        <v>65</v>
      </c>
      <c r="B24" t="s">
        <v>66</v>
      </c>
      <c r="C24" t="s">
        <v>3</v>
      </c>
      <c r="F24" s="5">
        <v>42247</v>
      </c>
      <c r="G24" t="s">
        <v>67</v>
      </c>
      <c r="H24" t="s">
        <v>5</v>
      </c>
      <c r="I24" s="5">
        <v>42338</v>
      </c>
      <c r="J24" s="5"/>
      <c r="K24" s="6">
        <v>0</v>
      </c>
      <c r="L24" s="5"/>
      <c r="M24" s="6">
        <v>0</v>
      </c>
      <c r="N24" s="5">
        <v>42247</v>
      </c>
      <c r="Q24" s="12">
        <f t="shared" si="0"/>
        <v>0</v>
      </c>
      <c r="R24" s="12">
        <f t="shared" si="1"/>
        <v>0</v>
      </c>
      <c r="S24" s="13">
        <f t="shared" si="2"/>
        <v>0</v>
      </c>
    </row>
    <row r="25" spans="1:19" hidden="1" x14ac:dyDescent="0.2">
      <c r="A25" t="s">
        <v>68</v>
      </c>
      <c r="B25" t="s">
        <v>69</v>
      </c>
      <c r="C25" t="s">
        <v>3</v>
      </c>
      <c r="F25" s="5">
        <v>42249</v>
      </c>
      <c r="G25" t="s">
        <v>70</v>
      </c>
      <c r="H25" t="s">
        <v>5</v>
      </c>
      <c r="I25" s="5">
        <v>42249</v>
      </c>
      <c r="J25" s="5">
        <v>42242</v>
      </c>
      <c r="K25" s="6">
        <v>0.6875</v>
      </c>
      <c r="L25" s="5">
        <v>42242</v>
      </c>
      <c r="M25" s="6">
        <v>0.85451388888889002</v>
      </c>
      <c r="N25" s="5">
        <v>42249</v>
      </c>
      <c r="Q25" s="12">
        <f t="shared" si="0"/>
        <v>42242.6875</v>
      </c>
      <c r="R25" s="12">
        <f t="shared" si="1"/>
        <v>42242.854513888888</v>
      </c>
      <c r="S25" s="13">
        <f t="shared" si="2"/>
        <v>0.16701388888759539</v>
      </c>
    </row>
    <row r="26" spans="1:19" x14ac:dyDescent="0.2">
      <c r="A26" t="s">
        <v>71</v>
      </c>
      <c r="B26" t="s">
        <v>72</v>
      </c>
      <c r="C26" t="s">
        <v>3</v>
      </c>
      <c r="E26" s="11" t="s">
        <v>1268</v>
      </c>
      <c r="F26" s="5">
        <v>42262</v>
      </c>
      <c r="G26" t="s">
        <v>73</v>
      </c>
      <c r="H26" t="s">
        <v>5</v>
      </c>
      <c r="I26" s="5">
        <v>42260</v>
      </c>
      <c r="J26" s="5">
        <v>42259</v>
      </c>
      <c r="K26" s="6">
        <v>0.90972222222221999</v>
      </c>
      <c r="L26" s="5">
        <v>42259</v>
      </c>
      <c r="M26" s="6">
        <v>0.93062500000000004</v>
      </c>
      <c r="N26" s="5">
        <v>42262</v>
      </c>
      <c r="Q26" s="12">
        <f t="shared" si="0"/>
        <v>42259.909722222219</v>
      </c>
      <c r="R26" s="12">
        <f t="shared" si="1"/>
        <v>42259.930625000001</v>
      </c>
      <c r="S26" s="13">
        <f t="shared" si="2"/>
        <v>2.0902777781884652E-2</v>
      </c>
    </row>
    <row r="27" spans="1:19" hidden="1" x14ac:dyDescent="0.2">
      <c r="A27" t="s">
        <v>74</v>
      </c>
      <c r="B27" t="s">
        <v>75</v>
      </c>
      <c r="C27" t="s">
        <v>3</v>
      </c>
      <c r="D27" s="11" t="s">
        <v>1266</v>
      </c>
      <c r="F27" s="5">
        <v>42271</v>
      </c>
      <c r="G27" t="s">
        <v>76</v>
      </c>
      <c r="H27" t="s">
        <v>5</v>
      </c>
      <c r="I27" s="5">
        <v>42270</v>
      </c>
      <c r="J27" s="5">
        <v>42270</v>
      </c>
      <c r="K27" s="6">
        <v>0.34722222222221999</v>
      </c>
      <c r="L27" s="5">
        <v>42270</v>
      </c>
      <c r="M27" s="6">
        <v>0.36872685185185</v>
      </c>
      <c r="N27" s="5">
        <v>42271</v>
      </c>
      <c r="Q27" s="12">
        <f t="shared" si="0"/>
        <v>42270.347222222219</v>
      </c>
      <c r="R27" s="12">
        <f t="shared" si="1"/>
        <v>42270.368726851855</v>
      </c>
      <c r="S27" s="13">
        <f t="shared" si="2"/>
        <v>2.1504629636183381E-2</v>
      </c>
    </row>
    <row r="28" spans="1:19" hidden="1" x14ac:dyDescent="0.2">
      <c r="A28" t="s">
        <v>77</v>
      </c>
      <c r="B28" t="s">
        <v>78</v>
      </c>
      <c r="C28" t="s">
        <v>3</v>
      </c>
      <c r="F28" s="5">
        <v>42276</v>
      </c>
      <c r="G28" t="s">
        <v>79</v>
      </c>
      <c r="H28" t="s">
        <v>5</v>
      </c>
      <c r="I28" s="5">
        <v>42274</v>
      </c>
      <c r="J28" s="5">
        <v>42274</v>
      </c>
      <c r="K28" s="6">
        <v>4.1666666666670002E-2</v>
      </c>
      <c r="L28" s="5">
        <v>42274</v>
      </c>
      <c r="M28" s="6">
        <v>7.6712962962959999E-2</v>
      </c>
      <c r="N28" s="5">
        <v>42276</v>
      </c>
      <c r="Q28" s="12">
        <f t="shared" si="0"/>
        <v>42274.041666666664</v>
      </c>
      <c r="R28" s="12">
        <f t="shared" si="1"/>
        <v>42274.07671296296</v>
      </c>
      <c r="S28" s="13">
        <f t="shared" si="2"/>
        <v>3.5046296296059154E-2</v>
      </c>
    </row>
    <row r="29" spans="1:19" hidden="1" x14ac:dyDescent="0.2">
      <c r="A29" t="s">
        <v>80</v>
      </c>
      <c r="B29" t="s">
        <v>81</v>
      </c>
      <c r="C29" t="s">
        <v>82</v>
      </c>
      <c r="F29" s="5">
        <v>42277</v>
      </c>
      <c r="G29" t="s">
        <v>83</v>
      </c>
      <c r="H29" t="s">
        <v>5</v>
      </c>
      <c r="I29" s="5">
        <v>42473</v>
      </c>
      <c r="J29" s="5">
        <v>42277</v>
      </c>
      <c r="K29" s="6">
        <v>0.59722222222221999</v>
      </c>
      <c r="L29" s="5">
        <v>42277</v>
      </c>
      <c r="M29" s="6">
        <v>0.61116898148148002</v>
      </c>
      <c r="N29" s="5">
        <v>42277</v>
      </c>
      <c r="Q29" s="12">
        <f t="shared" si="0"/>
        <v>42277.597222222219</v>
      </c>
      <c r="R29" s="12">
        <f t="shared" si="1"/>
        <v>42277.611168981479</v>
      </c>
      <c r="S29" s="13">
        <f t="shared" si="2"/>
        <v>1.3946759259852115E-2</v>
      </c>
    </row>
    <row r="30" spans="1:19" hidden="1" x14ac:dyDescent="0.2">
      <c r="A30" t="s">
        <v>84</v>
      </c>
      <c r="B30" t="s">
        <v>85</v>
      </c>
      <c r="C30" t="s">
        <v>3</v>
      </c>
      <c r="F30" s="5">
        <v>42296</v>
      </c>
      <c r="G30" t="s">
        <v>86</v>
      </c>
      <c r="H30" t="s">
        <v>5</v>
      </c>
      <c r="I30" s="5">
        <v>42474</v>
      </c>
      <c r="J30" s="5">
        <v>42294</v>
      </c>
      <c r="K30" s="6">
        <v>0.44444444444443998</v>
      </c>
      <c r="L30" s="5">
        <v>42294</v>
      </c>
      <c r="M30" s="6">
        <v>0.46185185185185001</v>
      </c>
      <c r="N30" s="5">
        <v>42296</v>
      </c>
      <c r="Q30" s="12">
        <f t="shared" si="0"/>
        <v>42294.444444444445</v>
      </c>
      <c r="R30" s="12">
        <f t="shared" si="1"/>
        <v>42294.461851851855</v>
      </c>
      <c r="S30" s="13">
        <f t="shared" si="2"/>
        <v>1.7407407409336884E-2</v>
      </c>
    </row>
    <row r="31" spans="1:19" hidden="1" x14ac:dyDescent="0.2">
      <c r="A31" t="s">
        <v>87</v>
      </c>
      <c r="B31" t="s">
        <v>88</v>
      </c>
      <c r="C31" t="s">
        <v>3</v>
      </c>
      <c r="D31" s="11" t="s">
        <v>1266</v>
      </c>
      <c r="F31" s="5">
        <v>42297</v>
      </c>
      <c r="G31" t="s">
        <v>89</v>
      </c>
      <c r="H31" t="s">
        <v>5</v>
      </c>
      <c r="I31" s="5">
        <v>42478</v>
      </c>
      <c r="J31" s="5">
        <v>42296</v>
      </c>
      <c r="K31" s="6">
        <v>0.66666666666666996</v>
      </c>
      <c r="L31" s="5">
        <v>42296</v>
      </c>
      <c r="M31" s="6">
        <v>0.68795138888888996</v>
      </c>
      <c r="N31" s="5">
        <v>42297</v>
      </c>
      <c r="Q31" s="12">
        <f t="shared" si="0"/>
        <v>42296.666666666664</v>
      </c>
      <c r="R31" s="12">
        <f t="shared" si="1"/>
        <v>42296.687951388885</v>
      </c>
      <c r="S31" s="13">
        <f t="shared" si="2"/>
        <v>2.1284722221025731E-2</v>
      </c>
    </row>
    <row r="32" spans="1:19" hidden="1" x14ac:dyDescent="0.2">
      <c r="A32" t="s">
        <v>90</v>
      </c>
      <c r="B32" t="s">
        <v>91</v>
      </c>
      <c r="C32" t="s">
        <v>3</v>
      </c>
      <c r="F32" s="5">
        <v>42307</v>
      </c>
      <c r="G32" t="s">
        <v>92</v>
      </c>
      <c r="H32" t="s">
        <v>5</v>
      </c>
      <c r="I32" s="5">
        <v>42307</v>
      </c>
      <c r="J32" s="5">
        <v>42307</v>
      </c>
      <c r="K32" s="6">
        <v>0.75694444444443998</v>
      </c>
      <c r="L32" s="5">
        <v>42307</v>
      </c>
      <c r="M32" s="6">
        <v>0.77784722222222002</v>
      </c>
      <c r="N32" s="5">
        <v>42307</v>
      </c>
      <c r="Q32" s="12">
        <f t="shared" si="0"/>
        <v>42307.756944444445</v>
      </c>
      <c r="R32" s="12">
        <f t="shared" si="1"/>
        <v>42307.77784722222</v>
      </c>
      <c r="S32" s="13">
        <f t="shared" si="2"/>
        <v>2.0902777774608694E-2</v>
      </c>
    </row>
    <row r="33" spans="1:19" hidden="1" x14ac:dyDescent="0.2">
      <c r="A33" t="s">
        <v>93</v>
      </c>
      <c r="B33" t="s">
        <v>94</v>
      </c>
      <c r="C33" t="s">
        <v>3</v>
      </c>
      <c r="D33" s="11" t="s">
        <v>1266</v>
      </c>
      <c r="F33" s="5">
        <v>42315</v>
      </c>
      <c r="G33" t="s">
        <v>89</v>
      </c>
      <c r="H33" t="s">
        <v>5</v>
      </c>
      <c r="I33" s="5">
        <v>42314</v>
      </c>
      <c r="J33" s="5">
        <v>42313</v>
      </c>
      <c r="K33" s="6">
        <v>0.64583333333333004</v>
      </c>
      <c r="L33" s="5">
        <v>42313</v>
      </c>
      <c r="M33" s="6">
        <v>0.66668981481481004</v>
      </c>
      <c r="N33" s="5">
        <v>42315</v>
      </c>
      <c r="Q33" s="12">
        <f t="shared" si="0"/>
        <v>42313.645833333336</v>
      </c>
      <c r="R33" s="12">
        <f t="shared" si="1"/>
        <v>42313.666689814818</v>
      </c>
      <c r="S33" s="13">
        <f t="shared" si="2"/>
        <v>2.0856481482042E-2</v>
      </c>
    </row>
    <row r="34" spans="1:19" x14ac:dyDescent="0.2">
      <c r="A34" t="s">
        <v>95</v>
      </c>
      <c r="B34" t="s">
        <v>96</v>
      </c>
      <c r="C34" t="s">
        <v>3</v>
      </c>
      <c r="E34" s="11" t="s">
        <v>1268</v>
      </c>
      <c r="F34" s="5">
        <v>42321</v>
      </c>
      <c r="G34" t="s">
        <v>97</v>
      </c>
      <c r="H34" t="s">
        <v>5</v>
      </c>
      <c r="I34" s="5">
        <v>42319</v>
      </c>
      <c r="J34" s="5">
        <v>42318</v>
      </c>
      <c r="K34" s="6">
        <v>0.45138888888889001</v>
      </c>
      <c r="L34" s="5">
        <v>42318</v>
      </c>
      <c r="M34" s="6">
        <v>0.45844907407406998</v>
      </c>
      <c r="N34" s="5">
        <v>42321</v>
      </c>
      <c r="Q34" s="12">
        <f t="shared" si="0"/>
        <v>42318.451388888891</v>
      </c>
      <c r="R34" s="12">
        <f t="shared" si="1"/>
        <v>42318.458449074074</v>
      </c>
      <c r="S34" s="13">
        <f t="shared" si="2"/>
        <v>7.0601851839455776E-3</v>
      </c>
    </row>
    <row r="35" spans="1:19" x14ac:dyDescent="0.2">
      <c r="A35" t="s">
        <v>98</v>
      </c>
      <c r="B35" t="s">
        <v>99</v>
      </c>
      <c r="C35" t="s">
        <v>3</v>
      </c>
      <c r="E35" s="11" t="s">
        <v>1268</v>
      </c>
      <c r="F35" s="5">
        <v>42324</v>
      </c>
      <c r="G35" t="s">
        <v>100</v>
      </c>
      <c r="H35" t="s">
        <v>5</v>
      </c>
      <c r="I35" s="5">
        <v>42482</v>
      </c>
      <c r="J35" s="5">
        <v>42322</v>
      </c>
      <c r="K35" s="6">
        <v>0.47222222222221999</v>
      </c>
      <c r="L35" s="5">
        <v>42322</v>
      </c>
      <c r="M35" s="6">
        <v>0.49361111111111</v>
      </c>
      <c r="N35" s="5">
        <v>42324</v>
      </c>
      <c r="Q35" s="12">
        <f t="shared" si="0"/>
        <v>42322.472222222219</v>
      </c>
      <c r="R35" s="12">
        <f t="shared" si="1"/>
        <v>42322.493611111109</v>
      </c>
      <c r="S35" s="13">
        <f t="shared" si="2"/>
        <v>2.138888889021473E-2</v>
      </c>
    </row>
    <row r="36" spans="1:19" x14ac:dyDescent="0.2">
      <c r="A36" t="s">
        <v>101</v>
      </c>
      <c r="B36" t="s">
        <v>102</v>
      </c>
      <c r="C36" t="s">
        <v>3</v>
      </c>
      <c r="E36" s="11" t="s">
        <v>1268</v>
      </c>
      <c r="F36" s="5">
        <v>42331</v>
      </c>
      <c r="G36" t="s">
        <v>100</v>
      </c>
      <c r="H36" t="s">
        <v>5</v>
      </c>
      <c r="I36" s="5">
        <v>42330</v>
      </c>
      <c r="J36" s="5">
        <v>42329</v>
      </c>
      <c r="K36" s="6">
        <v>0.77083333333333004</v>
      </c>
      <c r="L36" s="5">
        <v>42329</v>
      </c>
      <c r="M36" s="6">
        <v>0.79181712962963002</v>
      </c>
      <c r="N36" s="5">
        <v>42331</v>
      </c>
      <c r="Q36" s="12">
        <f t="shared" si="0"/>
        <v>42329.770833333336</v>
      </c>
      <c r="R36" s="12">
        <f t="shared" si="1"/>
        <v>42329.791817129626</v>
      </c>
      <c r="S36" s="13">
        <f t="shared" si="2"/>
        <v>2.0983796290238388E-2</v>
      </c>
    </row>
    <row r="37" spans="1:19" hidden="1" x14ac:dyDescent="0.2">
      <c r="A37" t="s">
        <v>103</v>
      </c>
      <c r="B37" t="s">
        <v>104</v>
      </c>
      <c r="C37" t="s">
        <v>3</v>
      </c>
      <c r="F37" s="5">
        <v>42333</v>
      </c>
      <c r="G37" t="s">
        <v>105</v>
      </c>
      <c r="H37" t="s">
        <v>5</v>
      </c>
      <c r="I37" s="5">
        <v>42482</v>
      </c>
      <c r="J37" s="5">
        <v>42319</v>
      </c>
      <c r="K37" s="6">
        <v>0.41666666666667002</v>
      </c>
      <c r="L37" s="5">
        <v>42319</v>
      </c>
      <c r="M37" s="6">
        <v>0.44459490740740998</v>
      </c>
      <c r="N37" s="5">
        <v>42333</v>
      </c>
      <c r="Q37" s="12">
        <f t="shared" si="0"/>
        <v>42319.416666666664</v>
      </c>
      <c r="R37" s="12">
        <f t="shared" si="1"/>
        <v>42319.444594907407</v>
      </c>
      <c r="S37" s="13">
        <f t="shared" si="2"/>
        <v>2.792824074276723E-2</v>
      </c>
    </row>
    <row r="38" spans="1:19" hidden="1" x14ac:dyDescent="0.2">
      <c r="A38" t="s">
        <v>106</v>
      </c>
      <c r="B38" t="s">
        <v>107</v>
      </c>
      <c r="C38" t="s">
        <v>82</v>
      </c>
      <c r="F38" s="5">
        <v>42366</v>
      </c>
      <c r="G38" t="s">
        <v>108</v>
      </c>
      <c r="H38" t="s">
        <v>5</v>
      </c>
      <c r="I38" s="5">
        <v>42366</v>
      </c>
      <c r="J38" s="5">
        <v>42366</v>
      </c>
      <c r="K38" s="7">
        <v>1</v>
      </c>
      <c r="L38" s="5">
        <v>42367</v>
      </c>
      <c r="M38" s="6">
        <v>0.45099537037037002</v>
      </c>
      <c r="N38" s="5">
        <v>42366</v>
      </c>
      <c r="Q38" s="12">
        <f t="shared" si="0"/>
        <v>42367</v>
      </c>
      <c r="R38" s="12">
        <f t="shared" si="1"/>
        <v>42367.450995370367</v>
      </c>
      <c r="S38" s="13">
        <f t="shared" si="2"/>
        <v>0.45099537036730908</v>
      </c>
    </row>
    <row r="39" spans="1:19" hidden="1" x14ac:dyDescent="0.2">
      <c r="A39" t="s">
        <v>109</v>
      </c>
      <c r="B39" t="s">
        <v>110</v>
      </c>
      <c r="C39" t="s">
        <v>82</v>
      </c>
      <c r="F39" s="5">
        <v>42366</v>
      </c>
      <c r="G39" t="s">
        <v>111</v>
      </c>
      <c r="H39" t="s">
        <v>5</v>
      </c>
      <c r="I39" s="5">
        <v>43154</v>
      </c>
      <c r="J39" s="5">
        <v>42366</v>
      </c>
      <c r="K39" s="6">
        <v>0.375</v>
      </c>
      <c r="L39" s="5">
        <v>42366</v>
      </c>
      <c r="M39" s="6">
        <v>0.41666666666667002</v>
      </c>
      <c r="N39" s="5">
        <v>42366</v>
      </c>
      <c r="Q39" s="12">
        <f t="shared" si="0"/>
        <v>42366.375</v>
      </c>
      <c r="R39" s="12">
        <f t="shared" si="1"/>
        <v>42366.416666666664</v>
      </c>
      <c r="S39" s="13">
        <f t="shared" si="2"/>
        <v>4.1666666664241347E-2</v>
      </c>
    </row>
    <row r="40" spans="1:19" hidden="1" x14ac:dyDescent="0.2">
      <c r="A40" t="s">
        <v>112</v>
      </c>
      <c r="B40" t="s">
        <v>113</v>
      </c>
      <c r="C40" t="s">
        <v>3</v>
      </c>
      <c r="D40" s="11" t="s">
        <v>1266</v>
      </c>
      <c r="F40" s="5">
        <v>42374</v>
      </c>
      <c r="G40" t="s">
        <v>114</v>
      </c>
      <c r="H40" t="s">
        <v>5</v>
      </c>
      <c r="I40" s="5">
        <v>42374</v>
      </c>
      <c r="J40" s="5">
        <v>42366</v>
      </c>
      <c r="K40" s="6">
        <v>0.33333333333332998</v>
      </c>
      <c r="L40" s="5">
        <v>42366</v>
      </c>
      <c r="M40" s="6">
        <v>0.35478009259259002</v>
      </c>
      <c r="N40" s="5">
        <v>42374</v>
      </c>
      <c r="Q40" s="12">
        <f t="shared" si="0"/>
        <v>42366.333333333336</v>
      </c>
      <c r="R40" s="12">
        <f t="shared" si="1"/>
        <v>42366.354780092595</v>
      </c>
      <c r="S40" s="13">
        <f t="shared" si="2"/>
        <v>2.1446759259561077E-2</v>
      </c>
    </row>
    <row r="41" spans="1:19" hidden="1" x14ac:dyDescent="0.2">
      <c r="A41" t="s">
        <v>115</v>
      </c>
      <c r="B41" t="s">
        <v>116</v>
      </c>
      <c r="C41" t="s">
        <v>3</v>
      </c>
      <c r="D41" s="11" t="s">
        <v>1266</v>
      </c>
      <c r="F41" s="5">
        <v>42374</v>
      </c>
      <c r="G41" t="s">
        <v>117</v>
      </c>
      <c r="H41" t="s">
        <v>5</v>
      </c>
      <c r="I41" s="5">
        <v>42374</v>
      </c>
      <c r="J41" s="5">
        <v>42361</v>
      </c>
      <c r="K41" s="6">
        <v>0.72916666666666996</v>
      </c>
      <c r="L41" s="5">
        <v>42361</v>
      </c>
      <c r="M41" s="6">
        <v>0.75016203703703999</v>
      </c>
      <c r="N41" s="5">
        <v>42374</v>
      </c>
      <c r="Q41" s="12">
        <f t="shared" si="0"/>
        <v>42361.729166666664</v>
      </c>
      <c r="R41" s="12">
        <f t="shared" si="1"/>
        <v>42361.750162037039</v>
      </c>
      <c r="S41" s="13">
        <f t="shared" si="2"/>
        <v>2.0995370374293998E-2</v>
      </c>
    </row>
    <row r="42" spans="1:19" hidden="1" x14ac:dyDescent="0.2">
      <c r="A42" t="s">
        <v>118</v>
      </c>
      <c r="B42" t="s">
        <v>119</v>
      </c>
      <c r="C42" t="s">
        <v>82</v>
      </c>
      <c r="F42" s="5">
        <v>42383</v>
      </c>
      <c r="G42" t="s">
        <v>120</v>
      </c>
      <c r="H42" t="s">
        <v>5</v>
      </c>
      <c r="I42" s="5">
        <v>42383</v>
      </c>
      <c r="J42" s="5">
        <v>42383</v>
      </c>
      <c r="K42" s="6">
        <v>0.33333333333332998</v>
      </c>
      <c r="L42" s="5">
        <v>42383</v>
      </c>
      <c r="M42" s="6">
        <v>0.79170138888888997</v>
      </c>
      <c r="N42" s="5">
        <v>42383</v>
      </c>
      <c r="Q42" s="12">
        <f t="shared" si="0"/>
        <v>42383.333333333336</v>
      </c>
      <c r="R42" s="12">
        <f t="shared" si="1"/>
        <v>42383.791701388887</v>
      </c>
      <c r="S42" s="13">
        <f t="shared" si="2"/>
        <v>0.45836805555154569</v>
      </c>
    </row>
    <row r="43" spans="1:19" hidden="1" x14ac:dyDescent="0.2">
      <c r="A43" t="s">
        <v>121</v>
      </c>
      <c r="B43" t="s">
        <v>122</v>
      </c>
      <c r="C43" t="s">
        <v>3</v>
      </c>
      <c r="D43" s="11" t="s">
        <v>1266</v>
      </c>
      <c r="F43" s="5">
        <v>42452</v>
      </c>
      <c r="G43" t="s">
        <v>123</v>
      </c>
      <c r="H43" t="s">
        <v>5</v>
      </c>
      <c r="I43" s="5">
        <v>42452</v>
      </c>
      <c r="J43" s="5">
        <v>42416</v>
      </c>
      <c r="K43" s="6">
        <v>0.41666666666667002</v>
      </c>
      <c r="L43" s="5">
        <v>42416</v>
      </c>
      <c r="M43" s="6">
        <v>0.43783564814815001</v>
      </c>
      <c r="N43" s="5">
        <v>42452</v>
      </c>
      <c r="Q43" s="12">
        <f t="shared" si="0"/>
        <v>42416.416666666664</v>
      </c>
      <c r="R43" s="12">
        <f t="shared" si="1"/>
        <v>42416.437835648147</v>
      </c>
      <c r="S43" s="13">
        <f t="shared" si="2"/>
        <v>2.1168981482333038E-2</v>
      </c>
    </row>
    <row r="44" spans="1:19" x14ac:dyDescent="0.2">
      <c r="A44" t="s">
        <v>124</v>
      </c>
      <c r="B44" t="s">
        <v>125</v>
      </c>
      <c r="C44" t="s">
        <v>3</v>
      </c>
      <c r="E44" s="11" t="s">
        <v>1268</v>
      </c>
      <c r="F44" s="5">
        <v>42461</v>
      </c>
      <c r="G44" t="s">
        <v>126</v>
      </c>
      <c r="H44" t="s">
        <v>5</v>
      </c>
      <c r="I44" s="5">
        <v>42461</v>
      </c>
      <c r="J44" s="5"/>
      <c r="K44" s="6">
        <v>0</v>
      </c>
      <c r="L44" s="5"/>
      <c r="M44" s="6">
        <v>0</v>
      </c>
      <c r="N44" s="5">
        <v>42461</v>
      </c>
      <c r="Q44" s="12">
        <f t="shared" si="0"/>
        <v>0</v>
      </c>
      <c r="R44" s="12">
        <f t="shared" si="1"/>
        <v>0</v>
      </c>
      <c r="S44" s="13">
        <f t="shared" si="2"/>
        <v>0</v>
      </c>
    </row>
    <row r="45" spans="1:19" hidden="1" x14ac:dyDescent="0.2">
      <c r="A45" t="s">
        <v>127</v>
      </c>
      <c r="B45" t="s">
        <v>128</v>
      </c>
      <c r="C45" t="s">
        <v>3</v>
      </c>
      <c r="D45" s="11" t="s">
        <v>1266</v>
      </c>
      <c r="F45" s="5">
        <v>42462</v>
      </c>
      <c r="G45" t="s">
        <v>129</v>
      </c>
      <c r="H45" t="s">
        <v>5</v>
      </c>
      <c r="I45" s="5">
        <v>42458</v>
      </c>
      <c r="J45" s="5">
        <v>42457</v>
      </c>
      <c r="K45" s="6">
        <v>0.45833333333332998</v>
      </c>
      <c r="L45" s="5">
        <v>42457</v>
      </c>
      <c r="M45" s="6">
        <v>0.47978009259259002</v>
      </c>
      <c r="N45" s="5">
        <v>42462</v>
      </c>
      <c r="Q45" s="12">
        <f t="shared" si="0"/>
        <v>42457.458333333336</v>
      </c>
      <c r="R45" s="12">
        <f t="shared" si="1"/>
        <v>42457.479780092595</v>
      </c>
      <c r="S45" s="13">
        <f t="shared" si="2"/>
        <v>2.1446759259561077E-2</v>
      </c>
    </row>
    <row r="46" spans="1:19" x14ac:dyDescent="0.2">
      <c r="A46" t="s">
        <v>130</v>
      </c>
      <c r="B46" t="s">
        <v>131</v>
      </c>
      <c r="C46" t="s">
        <v>3</v>
      </c>
      <c r="E46" s="11" t="s">
        <v>1268</v>
      </c>
      <c r="F46" s="5">
        <v>42468</v>
      </c>
      <c r="G46" t="s">
        <v>132</v>
      </c>
      <c r="H46" t="s">
        <v>5</v>
      </c>
      <c r="I46" s="5">
        <v>42468</v>
      </c>
      <c r="J46" s="5">
        <v>42268</v>
      </c>
      <c r="K46" s="6">
        <v>0.72222222222221999</v>
      </c>
      <c r="L46" s="5">
        <v>42268</v>
      </c>
      <c r="M46" s="6">
        <v>0.73635416666666997</v>
      </c>
      <c r="N46" s="5">
        <v>42468</v>
      </c>
      <c r="Q46" s="12">
        <f t="shared" si="0"/>
        <v>42268.722222222219</v>
      </c>
      <c r="R46" s="12">
        <f t="shared" si="1"/>
        <v>42268.736354166664</v>
      </c>
      <c r="S46" s="13">
        <f t="shared" si="2"/>
        <v>1.4131944444670808E-2</v>
      </c>
    </row>
    <row r="47" spans="1:19" hidden="1" x14ac:dyDescent="0.2">
      <c r="A47" t="s">
        <v>133</v>
      </c>
      <c r="B47" t="s">
        <v>134</v>
      </c>
      <c r="C47" t="s">
        <v>82</v>
      </c>
      <c r="F47" s="5">
        <v>42473</v>
      </c>
      <c r="G47" t="s">
        <v>135</v>
      </c>
      <c r="H47" t="s">
        <v>5</v>
      </c>
      <c r="I47" s="5">
        <v>42469</v>
      </c>
      <c r="J47" s="5">
        <v>42469</v>
      </c>
      <c r="K47" s="6">
        <v>0.58333333333333004</v>
      </c>
      <c r="L47" s="5">
        <v>42469</v>
      </c>
      <c r="M47" s="6">
        <v>0.77287037037036999</v>
      </c>
      <c r="N47" s="5">
        <v>42473</v>
      </c>
      <c r="Q47" s="12">
        <f t="shared" si="0"/>
        <v>42469.583333333336</v>
      </c>
      <c r="R47" s="12">
        <f t="shared" si="1"/>
        <v>42469.772870370369</v>
      </c>
      <c r="S47" s="13">
        <f t="shared" si="2"/>
        <v>0.18953703703300562</v>
      </c>
    </row>
    <row r="48" spans="1:19" x14ac:dyDescent="0.2">
      <c r="A48" t="s">
        <v>136</v>
      </c>
      <c r="B48" t="s">
        <v>137</v>
      </c>
      <c r="C48" t="s">
        <v>3</v>
      </c>
      <c r="E48" s="11" t="s">
        <v>1268</v>
      </c>
      <c r="F48" s="5">
        <v>42473</v>
      </c>
      <c r="G48" t="s">
        <v>132</v>
      </c>
      <c r="H48" t="s">
        <v>5</v>
      </c>
      <c r="I48" s="5">
        <v>42473</v>
      </c>
      <c r="J48" s="5">
        <v>42277</v>
      </c>
      <c r="K48" s="6">
        <v>0.59722222222221999</v>
      </c>
      <c r="L48" s="5">
        <v>42277</v>
      </c>
      <c r="M48" s="6">
        <v>0.6221875</v>
      </c>
      <c r="N48" s="5">
        <v>42473</v>
      </c>
      <c r="Q48" s="12">
        <f t="shared" si="0"/>
        <v>42277.597222222219</v>
      </c>
      <c r="R48" s="12">
        <f t="shared" si="1"/>
        <v>42277.622187499997</v>
      </c>
      <c r="S48" s="13">
        <f t="shared" si="2"/>
        <v>2.4965277778392192E-2</v>
      </c>
    </row>
    <row r="49" spans="1:19" x14ac:dyDescent="0.2">
      <c r="A49" t="s">
        <v>138</v>
      </c>
      <c r="B49" t="s">
        <v>139</v>
      </c>
      <c r="C49" t="s">
        <v>3</v>
      </c>
      <c r="E49" s="11" t="s">
        <v>1268</v>
      </c>
      <c r="F49" s="5">
        <v>42482</v>
      </c>
      <c r="G49" t="s">
        <v>126</v>
      </c>
      <c r="H49" t="s">
        <v>5</v>
      </c>
      <c r="I49" s="5">
        <v>42482</v>
      </c>
      <c r="J49" s="5">
        <v>42314</v>
      </c>
      <c r="K49" s="6">
        <v>0.49305555555556002</v>
      </c>
      <c r="L49" s="5">
        <v>42314</v>
      </c>
      <c r="M49" s="6">
        <v>0.51101851851851998</v>
      </c>
      <c r="N49" s="5">
        <v>42482</v>
      </c>
      <c r="Q49" s="12">
        <f t="shared" si="0"/>
        <v>42314.493055555555</v>
      </c>
      <c r="R49" s="12">
        <f t="shared" si="1"/>
        <v>42314.511018518519</v>
      </c>
      <c r="S49" s="13">
        <f t="shared" si="2"/>
        <v>1.7962962963792961E-2</v>
      </c>
    </row>
    <row r="50" spans="1:19" hidden="1" x14ac:dyDescent="0.2">
      <c r="A50" t="s">
        <v>140</v>
      </c>
      <c r="B50" t="s">
        <v>141</v>
      </c>
      <c r="C50" t="s">
        <v>3</v>
      </c>
      <c r="F50" s="5">
        <v>42485</v>
      </c>
      <c r="G50" t="s">
        <v>142</v>
      </c>
      <c r="H50" t="s">
        <v>5</v>
      </c>
      <c r="I50" s="5">
        <v>42485</v>
      </c>
      <c r="J50" s="5">
        <v>42338</v>
      </c>
      <c r="K50" s="6">
        <v>0.44444444444443998</v>
      </c>
      <c r="L50" s="5">
        <v>42338</v>
      </c>
      <c r="M50" s="6">
        <v>0.47575231481481001</v>
      </c>
      <c r="N50" s="5">
        <v>42485</v>
      </c>
      <c r="Q50" s="12">
        <f t="shared" si="0"/>
        <v>42338.444444444445</v>
      </c>
      <c r="R50" s="12">
        <f t="shared" si="1"/>
        <v>42338.475752314815</v>
      </c>
      <c r="S50" s="13">
        <f t="shared" si="2"/>
        <v>3.1307870369346347E-2</v>
      </c>
    </row>
    <row r="51" spans="1:19" x14ac:dyDescent="0.2">
      <c r="A51" t="s">
        <v>143</v>
      </c>
      <c r="B51" t="s">
        <v>144</v>
      </c>
      <c r="C51" t="s">
        <v>3</v>
      </c>
      <c r="E51" s="11" t="s">
        <v>1268</v>
      </c>
      <c r="F51" s="5">
        <v>42485</v>
      </c>
      <c r="G51" t="s">
        <v>145</v>
      </c>
      <c r="H51" t="s">
        <v>5</v>
      </c>
      <c r="I51" s="5">
        <v>42485</v>
      </c>
      <c r="J51" s="5">
        <v>42340</v>
      </c>
      <c r="K51" s="6">
        <v>0.375</v>
      </c>
      <c r="L51" s="5">
        <v>42340</v>
      </c>
      <c r="M51" s="6">
        <v>0.39259259259259</v>
      </c>
      <c r="N51" s="5">
        <v>42485</v>
      </c>
      <c r="Q51" s="12">
        <f t="shared" si="0"/>
        <v>42340.375</v>
      </c>
      <c r="R51" s="12">
        <f t="shared" si="1"/>
        <v>42340.392592592594</v>
      </c>
      <c r="S51" s="13">
        <f t="shared" si="2"/>
        <v>1.7592592594155576E-2</v>
      </c>
    </row>
    <row r="52" spans="1:19" hidden="1" x14ac:dyDescent="0.2">
      <c r="A52" t="s">
        <v>146</v>
      </c>
      <c r="B52" t="s">
        <v>147</v>
      </c>
      <c r="C52" t="s">
        <v>3</v>
      </c>
      <c r="D52" s="11" t="s">
        <v>1266</v>
      </c>
      <c r="F52" s="5">
        <v>42503</v>
      </c>
      <c r="G52" t="s">
        <v>39</v>
      </c>
      <c r="H52" t="s">
        <v>5</v>
      </c>
      <c r="I52" s="5">
        <v>42503</v>
      </c>
      <c r="J52" s="5"/>
      <c r="K52" s="6">
        <v>0</v>
      </c>
      <c r="L52" s="5"/>
      <c r="M52" s="6">
        <v>0</v>
      </c>
      <c r="N52" s="5">
        <v>42516</v>
      </c>
      <c r="Q52" s="12">
        <f t="shared" si="0"/>
        <v>0</v>
      </c>
      <c r="R52" s="12">
        <f t="shared" si="1"/>
        <v>0</v>
      </c>
      <c r="S52" s="13">
        <f t="shared" si="2"/>
        <v>0</v>
      </c>
    </row>
    <row r="53" spans="1:19" hidden="1" x14ac:dyDescent="0.2">
      <c r="A53" t="s">
        <v>148</v>
      </c>
      <c r="B53" t="s">
        <v>149</v>
      </c>
      <c r="C53" t="s">
        <v>3</v>
      </c>
      <c r="F53" s="5">
        <v>42509</v>
      </c>
      <c r="G53" t="s">
        <v>150</v>
      </c>
      <c r="H53" t="s">
        <v>5</v>
      </c>
      <c r="I53" s="5">
        <v>42509</v>
      </c>
      <c r="J53" s="5"/>
      <c r="K53" s="6">
        <v>0</v>
      </c>
      <c r="L53" s="5"/>
      <c r="M53" s="6">
        <v>0</v>
      </c>
      <c r="N53" s="5">
        <v>42509</v>
      </c>
      <c r="Q53" s="12">
        <f t="shared" si="0"/>
        <v>0</v>
      </c>
      <c r="R53" s="12">
        <f t="shared" si="1"/>
        <v>0</v>
      </c>
      <c r="S53" s="13">
        <f t="shared" si="2"/>
        <v>0</v>
      </c>
    </row>
    <row r="54" spans="1:19" hidden="1" x14ac:dyDescent="0.2">
      <c r="A54" t="s">
        <v>151</v>
      </c>
      <c r="B54" t="s">
        <v>152</v>
      </c>
      <c r="C54" t="s">
        <v>3</v>
      </c>
      <c r="D54" s="11" t="s">
        <v>1266</v>
      </c>
      <c r="F54" s="5">
        <v>42513</v>
      </c>
      <c r="G54" t="s">
        <v>39</v>
      </c>
      <c r="H54" t="s">
        <v>5</v>
      </c>
      <c r="I54" s="5">
        <v>42510</v>
      </c>
      <c r="J54" s="5">
        <v>42510</v>
      </c>
      <c r="K54" s="6">
        <v>0.16666666666666999</v>
      </c>
      <c r="L54" s="5">
        <v>42510</v>
      </c>
      <c r="M54" s="6">
        <v>0.25</v>
      </c>
      <c r="N54" s="5">
        <v>42516</v>
      </c>
      <c r="Q54" s="12">
        <f t="shared" si="0"/>
        <v>42510.166666666664</v>
      </c>
      <c r="R54" s="12">
        <f t="shared" si="1"/>
        <v>42510.25</v>
      </c>
      <c r="S54" s="13">
        <f t="shared" si="2"/>
        <v>8.3333333335758653E-2</v>
      </c>
    </row>
    <row r="55" spans="1:19" hidden="1" x14ac:dyDescent="0.2">
      <c r="A55" t="s">
        <v>153</v>
      </c>
      <c r="B55" t="s">
        <v>154</v>
      </c>
      <c r="C55" t="s">
        <v>3</v>
      </c>
      <c r="F55" s="5">
        <v>42517</v>
      </c>
      <c r="G55" t="s">
        <v>155</v>
      </c>
      <c r="H55" t="s">
        <v>5</v>
      </c>
      <c r="I55" s="5">
        <v>42517</v>
      </c>
      <c r="J55" s="5">
        <v>42467</v>
      </c>
      <c r="K55" s="6">
        <v>0.95833333333333004</v>
      </c>
      <c r="L55" s="5">
        <v>42468</v>
      </c>
      <c r="M55" s="6">
        <v>0.77711805555556002</v>
      </c>
      <c r="N55" s="5">
        <v>42520</v>
      </c>
      <c r="Q55" s="12">
        <f t="shared" si="0"/>
        <v>42467.958333333336</v>
      </c>
      <c r="R55" s="12">
        <f t="shared" si="1"/>
        <v>42468.777118055557</v>
      </c>
      <c r="S55" s="13">
        <f t="shared" si="2"/>
        <v>0.81878472222160781</v>
      </c>
    </row>
    <row r="56" spans="1:19" x14ac:dyDescent="0.2">
      <c r="A56" t="s">
        <v>156</v>
      </c>
      <c r="B56" t="s">
        <v>157</v>
      </c>
      <c r="C56" t="s">
        <v>3</v>
      </c>
      <c r="E56" s="11" t="s">
        <v>1268</v>
      </c>
      <c r="F56" s="5">
        <v>42517</v>
      </c>
      <c r="G56" t="s">
        <v>158</v>
      </c>
      <c r="H56" t="s">
        <v>5</v>
      </c>
      <c r="I56" s="5">
        <v>42517</v>
      </c>
      <c r="J56" s="5">
        <v>42462</v>
      </c>
      <c r="K56" s="6">
        <v>0.45833333333332998</v>
      </c>
      <c r="L56" s="5">
        <v>42462</v>
      </c>
      <c r="M56" s="6">
        <v>0.5</v>
      </c>
      <c r="N56" s="5">
        <v>42520</v>
      </c>
      <c r="Q56" s="12">
        <f t="shared" si="0"/>
        <v>42462.458333333336</v>
      </c>
      <c r="R56" s="12">
        <f t="shared" si="1"/>
        <v>42462.5</v>
      </c>
      <c r="S56" s="13">
        <f t="shared" si="2"/>
        <v>4.1666666664241347E-2</v>
      </c>
    </row>
    <row r="57" spans="1:19" x14ac:dyDescent="0.2">
      <c r="A57" t="s">
        <v>159</v>
      </c>
      <c r="B57" t="s">
        <v>160</v>
      </c>
      <c r="C57" t="s">
        <v>3</v>
      </c>
      <c r="E57" s="11" t="s">
        <v>1268</v>
      </c>
      <c r="F57" s="5">
        <v>42517</v>
      </c>
      <c r="G57" t="s">
        <v>161</v>
      </c>
      <c r="H57" t="s">
        <v>5</v>
      </c>
      <c r="I57" s="5">
        <v>42517</v>
      </c>
      <c r="J57" s="5">
        <v>42361</v>
      </c>
      <c r="K57" s="6">
        <v>0.34027777777778001</v>
      </c>
      <c r="L57" s="5">
        <v>42361</v>
      </c>
      <c r="M57" s="6">
        <v>0.38194444444443998</v>
      </c>
      <c r="N57" s="5">
        <v>42520</v>
      </c>
      <c r="Q57" s="12">
        <f t="shared" si="0"/>
        <v>42361.340277777781</v>
      </c>
      <c r="R57" s="12">
        <f t="shared" si="1"/>
        <v>42361.381944444445</v>
      </c>
      <c r="S57" s="13">
        <f t="shared" si="2"/>
        <v>4.1666666664241347E-2</v>
      </c>
    </row>
    <row r="58" spans="1:19" hidden="1" x14ac:dyDescent="0.2">
      <c r="A58" t="s">
        <v>162</v>
      </c>
      <c r="B58" t="s">
        <v>163</v>
      </c>
      <c r="C58" t="s">
        <v>3</v>
      </c>
      <c r="F58" s="5">
        <v>42517</v>
      </c>
      <c r="G58" t="s">
        <v>164</v>
      </c>
      <c r="H58" t="s">
        <v>5</v>
      </c>
      <c r="I58" s="5">
        <v>42517</v>
      </c>
      <c r="J58" s="5">
        <v>42361</v>
      </c>
      <c r="K58" s="6">
        <v>0.39583333333332998</v>
      </c>
      <c r="L58" s="5">
        <v>42361</v>
      </c>
      <c r="M58" s="6">
        <v>0.4375</v>
      </c>
      <c r="N58" s="5">
        <v>42520</v>
      </c>
      <c r="Q58" s="12">
        <f t="shared" si="0"/>
        <v>42361.395833333336</v>
      </c>
      <c r="R58" s="12">
        <f t="shared" si="1"/>
        <v>42361.4375</v>
      </c>
      <c r="S58" s="13">
        <f t="shared" si="2"/>
        <v>4.1666666664241347E-2</v>
      </c>
    </row>
    <row r="59" spans="1:19" hidden="1" x14ac:dyDescent="0.2">
      <c r="A59" t="s">
        <v>165</v>
      </c>
      <c r="B59" t="s">
        <v>166</v>
      </c>
      <c r="C59" t="s">
        <v>3</v>
      </c>
      <c r="F59" s="5">
        <v>42517</v>
      </c>
      <c r="G59" t="s">
        <v>167</v>
      </c>
      <c r="H59" t="s">
        <v>5</v>
      </c>
      <c r="I59" s="5">
        <v>42517</v>
      </c>
      <c r="J59" s="5">
        <v>42357</v>
      </c>
      <c r="K59" s="6">
        <v>0.83333333333333004</v>
      </c>
      <c r="L59" s="5">
        <v>42357</v>
      </c>
      <c r="M59" s="6">
        <v>0.875</v>
      </c>
      <c r="N59" s="5">
        <v>42520</v>
      </c>
      <c r="Q59" s="12">
        <f t="shared" si="0"/>
        <v>42357.833333333336</v>
      </c>
      <c r="R59" s="12">
        <f t="shared" si="1"/>
        <v>42357.875</v>
      </c>
      <c r="S59" s="13">
        <f t="shared" si="2"/>
        <v>4.1666666664241347E-2</v>
      </c>
    </row>
    <row r="60" spans="1:19" x14ac:dyDescent="0.2">
      <c r="A60" t="s">
        <v>168</v>
      </c>
      <c r="B60" t="s">
        <v>169</v>
      </c>
      <c r="C60" t="s">
        <v>3</v>
      </c>
      <c r="E60" s="11" t="s">
        <v>1268</v>
      </c>
      <c r="F60" s="5">
        <v>42527</v>
      </c>
      <c r="G60" t="s">
        <v>170</v>
      </c>
      <c r="H60" t="s">
        <v>5</v>
      </c>
      <c r="I60" s="5">
        <v>42527</v>
      </c>
      <c r="J60" s="5">
        <v>42527</v>
      </c>
      <c r="K60" s="6">
        <v>0.78722222222222005</v>
      </c>
      <c r="L60" s="5">
        <v>42527</v>
      </c>
      <c r="M60" s="6">
        <v>0.78722222222222005</v>
      </c>
      <c r="N60" s="5">
        <v>42527</v>
      </c>
      <c r="Q60" s="12">
        <f t="shared" si="0"/>
        <v>42527.787222222221</v>
      </c>
      <c r="R60" s="12">
        <f t="shared" si="1"/>
        <v>42527.787222222221</v>
      </c>
      <c r="S60" s="13">
        <f t="shared" si="2"/>
        <v>0</v>
      </c>
    </row>
    <row r="61" spans="1:19" x14ac:dyDescent="0.2">
      <c r="A61" t="s">
        <v>171</v>
      </c>
      <c r="B61" t="s">
        <v>172</v>
      </c>
      <c r="C61" t="s">
        <v>3</v>
      </c>
      <c r="E61" s="11" t="s">
        <v>1268</v>
      </c>
      <c r="F61" s="5">
        <v>42553</v>
      </c>
      <c r="G61" t="s">
        <v>173</v>
      </c>
      <c r="H61" t="s">
        <v>5</v>
      </c>
      <c r="I61" s="5">
        <v>42553</v>
      </c>
      <c r="J61" s="5">
        <v>42544</v>
      </c>
      <c r="K61" s="6">
        <v>0.27083333333332998</v>
      </c>
      <c r="L61" s="5">
        <v>42544</v>
      </c>
      <c r="M61" s="6">
        <v>0.32642361111111001</v>
      </c>
      <c r="N61" s="5">
        <v>42553</v>
      </c>
      <c r="Q61" s="12">
        <f t="shared" si="0"/>
        <v>42544.270833333336</v>
      </c>
      <c r="R61" s="12">
        <f t="shared" si="1"/>
        <v>42544.326423611114</v>
      </c>
      <c r="S61" s="13">
        <f t="shared" si="2"/>
        <v>5.5590277777810115E-2</v>
      </c>
    </row>
    <row r="62" spans="1:19" hidden="1" x14ac:dyDescent="0.2">
      <c r="A62" t="s">
        <v>174</v>
      </c>
      <c r="B62" t="s">
        <v>175</v>
      </c>
      <c r="C62" t="s">
        <v>82</v>
      </c>
      <c r="F62" s="5">
        <v>42553</v>
      </c>
      <c r="G62" t="s">
        <v>176</v>
      </c>
      <c r="H62" t="s">
        <v>5</v>
      </c>
      <c r="I62" s="5">
        <v>42587</v>
      </c>
      <c r="J62" s="5">
        <v>42553</v>
      </c>
      <c r="K62" s="6">
        <v>0.33333333333332998</v>
      </c>
      <c r="L62" s="5">
        <v>42557</v>
      </c>
      <c r="M62" s="6">
        <v>0.58335648148148</v>
      </c>
      <c r="N62" s="5">
        <v>42553</v>
      </c>
      <c r="Q62" s="12">
        <f t="shared" si="0"/>
        <v>42553.333333333336</v>
      </c>
      <c r="R62" s="12">
        <f t="shared" si="1"/>
        <v>42557.583356481482</v>
      </c>
      <c r="S62" s="13">
        <f t="shared" si="2"/>
        <v>4.2500231481462833</v>
      </c>
    </row>
    <row r="63" spans="1:19" hidden="1" x14ac:dyDescent="0.2">
      <c r="A63" t="s">
        <v>177</v>
      </c>
      <c r="B63" t="s">
        <v>178</v>
      </c>
      <c r="C63" t="s">
        <v>3</v>
      </c>
      <c r="F63" s="5">
        <v>42593</v>
      </c>
      <c r="G63" t="s">
        <v>179</v>
      </c>
      <c r="H63" t="s">
        <v>5</v>
      </c>
      <c r="I63" s="5">
        <v>42593</v>
      </c>
      <c r="J63" s="5">
        <v>42571</v>
      </c>
      <c r="K63" s="6">
        <v>0.15625</v>
      </c>
      <c r="L63" s="5">
        <v>42571</v>
      </c>
      <c r="M63" s="6">
        <v>0.1875</v>
      </c>
      <c r="N63" s="5">
        <v>42593</v>
      </c>
      <c r="Q63" s="12">
        <f t="shared" si="0"/>
        <v>42571.15625</v>
      </c>
      <c r="R63" s="12">
        <f t="shared" si="1"/>
        <v>42571.1875</v>
      </c>
      <c r="S63" s="13">
        <f t="shared" si="2"/>
        <v>3.125E-2</v>
      </c>
    </row>
    <row r="64" spans="1:19" hidden="1" x14ac:dyDescent="0.2">
      <c r="A64" t="s">
        <v>180</v>
      </c>
      <c r="B64" t="s">
        <v>181</v>
      </c>
      <c r="C64" t="s">
        <v>3</v>
      </c>
      <c r="F64" s="5">
        <v>42598</v>
      </c>
      <c r="G64" t="s">
        <v>182</v>
      </c>
      <c r="H64" t="s">
        <v>5</v>
      </c>
      <c r="I64" s="5">
        <v>42598</v>
      </c>
      <c r="J64" s="5">
        <v>42567</v>
      </c>
      <c r="K64" s="6">
        <v>0.60416666666666996</v>
      </c>
      <c r="L64" s="5">
        <v>42567</v>
      </c>
      <c r="M64" s="6">
        <v>0.625</v>
      </c>
      <c r="N64" s="5">
        <v>42598</v>
      </c>
      <c r="Q64" s="12">
        <f t="shared" si="0"/>
        <v>42567.604166666664</v>
      </c>
      <c r="R64" s="12">
        <f t="shared" si="1"/>
        <v>42567.625</v>
      </c>
      <c r="S64" s="13">
        <f t="shared" si="2"/>
        <v>2.0833333335758653E-2</v>
      </c>
    </row>
    <row r="65" spans="1:19" hidden="1" x14ac:dyDescent="0.2">
      <c r="A65" t="s">
        <v>183</v>
      </c>
      <c r="B65" t="s">
        <v>184</v>
      </c>
      <c r="C65" t="s">
        <v>3</v>
      </c>
      <c r="F65" s="5">
        <v>42613</v>
      </c>
      <c r="G65" t="s">
        <v>185</v>
      </c>
      <c r="H65" t="s">
        <v>5</v>
      </c>
      <c r="I65" s="5">
        <v>42626</v>
      </c>
      <c r="J65" s="5">
        <v>42610</v>
      </c>
      <c r="K65" s="6">
        <v>0.41444444444444001</v>
      </c>
      <c r="L65" s="5">
        <v>42610</v>
      </c>
      <c r="M65" s="6">
        <v>0.66666666666666996</v>
      </c>
      <c r="N65" s="5">
        <v>42614</v>
      </c>
      <c r="Q65" s="12">
        <f t="shared" si="0"/>
        <v>42610.414444444446</v>
      </c>
      <c r="R65" s="12">
        <f t="shared" si="1"/>
        <v>42610.666666666664</v>
      </c>
      <c r="S65" s="13">
        <f t="shared" si="2"/>
        <v>0.25222222221782431</v>
      </c>
    </row>
    <row r="66" spans="1:19" hidden="1" x14ac:dyDescent="0.2">
      <c r="A66" t="s">
        <v>186</v>
      </c>
      <c r="B66" t="s">
        <v>187</v>
      </c>
      <c r="C66" t="s">
        <v>3</v>
      </c>
      <c r="F66" s="5">
        <v>42622</v>
      </c>
      <c r="G66" t="s">
        <v>188</v>
      </c>
      <c r="H66" t="s">
        <v>5</v>
      </c>
      <c r="I66" s="5">
        <v>42654</v>
      </c>
      <c r="J66" s="5">
        <v>42618</v>
      </c>
      <c r="K66" s="6">
        <v>0.41827546296295998</v>
      </c>
      <c r="L66" s="5">
        <v>42618</v>
      </c>
      <c r="M66" s="6">
        <v>0.4375</v>
      </c>
      <c r="N66" s="5">
        <v>42622</v>
      </c>
      <c r="Q66" s="12">
        <f t="shared" si="0"/>
        <v>42618.418275462966</v>
      </c>
      <c r="R66" s="12">
        <f t="shared" si="1"/>
        <v>42618.4375</v>
      </c>
      <c r="S66" s="13">
        <f t="shared" si="2"/>
        <v>1.9224537034460809E-2</v>
      </c>
    </row>
    <row r="67" spans="1:19" hidden="1" x14ac:dyDescent="0.2">
      <c r="F67" s="5"/>
      <c r="I67" s="5"/>
      <c r="J67" s="5"/>
      <c r="K67" s="6"/>
      <c r="L67" s="5"/>
      <c r="M67" s="6"/>
      <c r="N67" s="5"/>
      <c r="Q67" s="12"/>
      <c r="R67" s="12"/>
      <c r="S67" s="13"/>
    </row>
    <row r="68" spans="1:19" hidden="1" x14ac:dyDescent="0.2">
      <c r="A68" t="s">
        <v>189</v>
      </c>
      <c r="B68" t="s">
        <v>190</v>
      </c>
      <c r="C68" t="s">
        <v>3</v>
      </c>
      <c r="F68" s="5">
        <v>42626</v>
      </c>
      <c r="G68" t="s">
        <v>191</v>
      </c>
      <c r="H68" t="s">
        <v>5</v>
      </c>
      <c r="I68" s="5">
        <v>42626</v>
      </c>
      <c r="J68" s="5">
        <v>42613</v>
      </c>
      <c r="K68" s="6">
        <v>0.36456018518519001</v>
      </c>
      <c r="L68" s="5">
        <v>42614</v>
      </c>
      <c r="M68" s="6">
        <v>0.375</v>
      </c>
      <c r="N68" s="5">
        <v>42626</v>
      </c>
      <c r="Q68" s="12">
        <f t="shared" ref="Q68:Q131" si="3">J68+K68</f>
        <v>42613.364560185182</v>
      </c>
      <c r="R68" s="12">
        <f t="shared" ref="R68:R131" si="4">L68+M68</f>
        <v>42614.375</v>
      </c>
      <c r="S68" s="13">
        <f t="shared" ref="S68:S131" si="5">R68-Q68</f>
        <v>1.0104398148178007</v>
      </c>
    </row>
    <row r="69" spans="1:19" hidden="1" x14ac:dyDescent="0.2">
      <c r="A69" t="s">
        <v>192</v>
      </c>
      <c r="B69" t="s">
        <v>193</v>
      </c>
      <c r="C69" t="s">
        <v>3</v>
      </c>
      <c r="F69" s="5">
        <v>42643</v>
      </c>
      <c r="G69" t="s">
        <v>194</v>
      </c>
      <c r="H69" t="s">
        <v>5</v>
      </c>
      <c r="I69" s="5">
        <v>42643</v>
      </c>
      <c r="J69" s="5">
        <v>42643</v>
      </c>
      <c r="K69" s="6">
        <v>0.5</v>
      </c>
      <c r="L69" s="5">
        <v>42643</v>
      </c>
      <c r="M69" s="6">
        <v>0.5</v>
      </c>
      <c r="N69" s="5">
        <v>42643</v>
      </c>
      <c r="Q69" s="12">
        <f t="shared" si="3"/>
        <v>42643.5</v>
      </c>
      <c r="R69" s="12">
        <f t="shared" si="4"/>
        <v>42643.5</v>
      </c>
      <c r="S69" s="13">
        <f t="shared" si="5"/>
        <v>0</v>
      </c>
    </row>
    <row r="70" spans="1:19" hidden="1" x14ac:dyDescent="0.2">
      <c r="A70" t="s">
        <v>195</v>
      </c>
      <c r="B70" t="s">
        <v>196</v>
      </c>
      <c r="C70" t="s">
        <v>3</v>
      </c>
      <c r="F70" s="5">
        <v>42654</v>
      </c>
      <c r="G70" t="s">
        <v>197</v>
      </c>
      <c r="H70" t="s">
        <v>5</v>
      </c>
      <c r="I70" s="5">
        <v>42654</v>
      </c>
      <c r="J70" s="5">
        <v>42639</v>
      </c>
      <c r="K70" s="6">
        <v>0.37413194444443998</v>
      </c>
      <c r="L70" s="5">
        <v>42639</v>
      </c>
      <c r="M70" s="6">
        <v>0.38888888888889001</v>
      </c>
      <c r="N70" s="5">
        <v>42654</v>
      </c>
      <c r="Q70" s="12">
        <f t="shared" si="3"/>
        <v>42639.374131944445</v>
      </c>
      <c r="R70" s="12">
        <f t="shared" si="4"/>
        <v>42639.388888888891</v>
      </c>
      <c r="S70" s="13">
        <f t="shared" si="5"/>
        <v>1.4756944445252884E-2</v>
      </c>
    </row>
    <row r="71" spans="1:19" hidden="1" x14ac:dyDescent="0.2">
      <c r="A71" t="s">
        <v>198</v>
      </c>
      <c r="B71" t="s">
        <v>199</v>
      </c>
      <c r="C71" t="s">
        <v>3</v>
      </c>
      <c r="F71" s="5">
        <v>42654</v>
      </c>
      <c r="G71" t="s">
        <v>197</v>
      </c>
      <c r="H71" t="s">
        <v>5</v>
      </c>
      <c r="I71" s="5">
        <v>42654</v>
      </c>
      <c r="J71" s="5">
        <v>42637</v>
      </c>
      <c r="K71" s="6">
        <v>0.38217592592593003</v>
      </c>
      <c r="L71" s="5">
        <v>42637</v>
      </c>
      <c r="M71" s="6">
        <v>0.39583333333332998</v>
      </c>
      <c r="N71" s="5">
        <v>42654</v>
      </c>
      <c r="Q71" s="12">
        <f t="shared" si="3"/>
        <v>42637.382175925923</v>
      </c>
      <c r="R71" s="12">
        <f t="shared" si="4"/>
        <v>42637.395833333336</v>
      </c>
      <c r="S71" s="13">
        <f t="shared" si="5"/>
        <v>1.3657407413120382E-2</v>
      </c>
    </row>
    <row r="72" spans="1:19" hidden="1" x14ac:dyDescent="0.2">
      <c r="A72" t="s">
        <v>200</v>
      </c>
      <c r="B72" t="s">
        <v>201</v>
      </c>
      <c r="C72" t="s">
        <v>3</v>
      </c>
      <c r="F72" s="5">
        <v>42654</v>
      </c>
      <c r="G72" t="s">
        <v>202</v>
      </c>
      <c r="H72" t="s">
        <v>5</v>
      </c>
      <c r="I72" s="5">
        <v>42654</v>
      </c>
      <c r="J72" s="5">
        <v>42633</v>
      </c>
      <c r="K72" s="6">
        <v>0.59909722222221995</v>
      </c>
      <c r="L72" s="5">
        <v>42633</v>
      </c>
      <c r="M72" s="6">
        <v>0.64583333333333004</v>
      </c>
      <c r="N72" s="5">
        <v>42654</v>
      </c>
      <c r="Q72" s="12">
        <f t="shared" si="3"/>
        <v>42633.599097222221</v>
      </c>
      <c r="R72" s="12">
        <f t="shared" si="4"/>
        <v>42633.645833333336</v>
      </c>
      <c r="S72" s="13">
        <f t="shared" si="5"/>
        <v>4.6736111115023959E-2</v>
      </c>
    </row>
    <row r="73" spans="1:19" hidden="1" x14ac:dyDescent="0.2">
      <c r="A73" t="s">
        <v>203</v>
      </c>
      <c r="B73" t="s">
        <v>204</v>
      </c>
      <c r="C73" t="s">
        <v>3</v>
      </c>
      <c r="F73" s="5">
        <v>42654</v>
      </c>
      <c r="G73" t="s">
        <v>205</v>
      </c>
      <c r="H73" t="s">
        <v>5</v>
      </c>
      <c r="I73" s="5">
        <v>42654</v>
      </c>
      <c r="J73" s="5">
        <v>42628</v>
      </c>
      <c r="K73" s="6">
        <v>0.84027777777778001</v>
      </c>
      <c r="L73" s="5">
        <v>42628</v>
      </c>
      <c r="M73" s="6">
        <v>0.85416666666666996</v>
      </c>
      <c r="N73" s="5">
        <v>42654</v>
      </c>
      <c r="Q73" s="12">
        <f t="shared" si="3"/>
        <v>42628.840277777781</v>
      </c>
      <c r="R73" s="12">
        <f t="shared" si="4"/>
        <v>42628.854166666664</v>
      </c>
      <c r="S73" s="13">
        <f t="shared" si="5"/>
        <v>1.3888888883229811E-2</v>
      </c>
    </row>
    <row r="74" spans="1:19" hidden="1" x14ac:dyDescent="0.2">
      <c r="A74" t="s">
        <v>206</v>
      </c>
      <c r="B74" t="s">
        <v>207</v>
      </c>
      <c r="C74" t="s">
        <v>3</v>
      </c>
      <c r="F74" s="5">
        <v>42654</v>
      </c>
      <c r="G74" t="s">
        <v>53</v>
      </c>
      <c r="H74" t="s">
        <v>5</v>
      </c>
      <c r="I74" s="5">
        <v>42654</v>
      </c>
      <c r="J74" s="5">
        <v>42621</v>
      </c>
      <c r="K74" s="6">
        <v>0.79166666666666996</v>
      </c>
      <c r="L74" s="5">
        <v>42621</v>
      </c>
      <c r="M74" s="6">
        <v>0.81944444444443998</v>
      </c>
      <c r="N74" s="5">
        <v>42654</v>
      </c>
      <c r="Q74" s="12">
        <f t="shared" si="3"/>
        <v>42621.791666666664</v>
      </c>
      <c r="R74" s="12">
        <f t="shared" si="4"/>
        <v>42621.819444444445</v>
      </c>
      <c r="S74" s="13">
        <f t="shared" si="5"/>
        <v>2.7777777781011537E-2</v>
      </c>
    </row>
    <row r="75" spans="1:19" hidden="1" x14ac:dyDescent="0.2">
      <c r="A75" t="s">
        <v>208</v>
      </c>
      <c r="B75" t="s">
        <v>209</v>
      </c>
      <c r="C75" t="s">
        <v>3</v>
      </c>
      <c r="F75" s="5">
        <v>42654</v>
      </c>
      <c r="G75" t="s">
        <v>210</v>
      </c>
      <c r="H75" t="s">
        <v>5</v>
      </c>
      <c r="I75" s="5">
        <v>42654</v>
      </c>
      <c r="J75" s="5">
        <v>42632</v>
      </c>
      <c r="K75" s="6">
        <v>0.66321759259259006</v>
      </c>
      <c r="L75" s="5">
        <v>42632</v>
      </c>
      <c r="M75" s="6">
        <v>0.67708333333333004</v>
      </c>
      <c r="N75" s="5">
        <v>42654</v>
      </c>
      <c r="Q75" s="12">
        <f t="shared" si="3"/>
        <v>42632.663217592592</v>
      </c>
      <c r="R75" s="12">
        <f t="shared" si="4"/>
        <v>42632.677083333336</v>
      </c>
      <c r="S75" s="13">
        <f t="shared" si="5"/>
        <v>1.3865740744222421E-2</v>
      </c>
    </row>
    <row r="76" spans="1:19" hidden="1" x14ac:dyDescent="0.2">
      <c r="A76" t="s">
        <v>211</v>
      </c>
      <c r="B76" t="s">
        <v>212</v>
      </c>
      <c r="C76" t="s">
        <v>3</v>
      </c>
      <c r="F76" s="5">
        <v>42654</v>
      </c>
      <c r="G76" t="s">
        <v>213</v>
      </c>
      <c r="H76" t="s">
        <v>5</v>
      </c>
      <c r="I76" s="5">
        <v>42654</v>
      </c>
      <c r="J76" s="5">
        <v>42616</v>
      </c>
      <c r="K76" s="6">
        <v>0.64378472222222005</v>
      </c>
      <c r="L76" s="5">
        <v>42616</v>
      </c>
      <c r="M76" s="6">
        <v>0.70833333333333004</v>
      </c>
      <c r="N76" s="5">
        <v>42654</v>
      </c>
      <c r="Q76" s="12">
        <f t="shared" si="3"/>
        <v>42616.643784722219</v>
      </c>
      <c r="R76" s="12">
        <f t="shared" si="4"/>
        <v>42616.708333333336</v>
      </c>
      <c r="S76" s="13">
        <f t="shared" si="5"/>
        <v>6.4548611117061228E-2</v>
      </c>
    </row>
    <row r="77" spans="1:19" hidden="1" x14ac:dyDescent="0.2">
      <c r="A77" t="s">
        <v>214</v>
      </c>
      <c r="B77" t="s">
        <v>215</v>
      </c>
      <c r="C77" t="s">
        <v>3</v>
      </c>
      <c r="F77" s="5">
        <v>42654</v>
      </c>
      <c r="G77" t="s">
        <v>216</v>
      </c>
      <c r="H77" t="s">
        <v>5</v>
      </c>
      <c r="I77" s="5">
        <v>42654</v>
      </c>
      <c r="J77" s="5">
        <v>42619</v>
      </c>
      <c r="K77" s="6">
        <v>0.81174768518519003</v>
      </c>
      <c r="L77" s="5">
        <v>42619</v>
      </c>
      <c r="M77" s="6">
        <v>0.875</v>
      </c>
      <c r="N77" s="5">
        <v>42654</v>
      </c>
      <c r="Q77" s="12">
        <f t="shared" si="3"/>
        <v>42619.811747685184</v>
      </c>
      <c r="R77" s="12">
        <f t="shared" si="4"/>
        <v>42619.875</v>
      </c>
      <c r="S77" s="13">
        <f t="shared" si="5"/>
        <v>6.3252314816054422E-2</v>
      </c>
    </row>
    <row r="78" spans="1:19" hidden="1" x14ac:dyDescent="0.2">
      <c r="A78" t="s">
        <v>217</v>
      </c>
      <c r="B78" t="s">
        <v>218</v>
      </c>
      <c r="C78" t="s">
        <v>3</v>
      </c>
      <c r="F78" s="5">
        <v>42654</v>
      </c>
      <c r="G78" t="s">
        <v>197</v>
      </c>
      <c r="H78" t="s">
        <v>5</v>
      </c>
      <c r="I78" s="5">
        <v>42654</v>
      </c>
      <c r="J78" s="5">
        <v>42625</v>
      </c>
      <c r="K78" s="6">
        <v>0.77453703703704002</v>
      </c>
      <c r="L78" s="5">
        <v>42625</v>
      </c>
      <c r="M78" s="6">
        <v>0.79166666666666996</v>
      </c>
      <c r="N78" s="5">
        <v>42654</v>
      </c>
      <c r="Q78" s="12">
        <f t="shared" si="3"/>
        <v>42625.774537037039</v>
      </c>
      <c r="R78" s="12">
        <f t="shared" si="4"/>
        <v>42625.791666666664</v>
      </c>
      <c r="S78" s="13">
        <f t="shared" si="5"/>
        <v>1.7129629624832887E-2</v>
      </c>
    </row>
    <row r="79" spans="1:19" hidden="1" x14ac:dyDescent="0.2">
      <c r="A79" t="s">
        <v>219</v>
      </c>
      <c r="B79" t="s">
        <v>220</v>
      </c>
      <c r="C79" t="s">
        <v>82</v>
      </c>
      <c r="F79" s="5">
        <v>42656</v>
      </c>
      <c r="G79" t="s">
        <v>221</v>
      </c>
      <c r="H79" t="s">
        <v>5</v>
      </c>
      <c r="I79" s="5">
        <v>42656</v>
      </c>
      <c r="J79" s="5">
        <v>42656</v>
      </c>
      <c r="K79" s="6">
        <v>0.91666666666666996</v>
      </c>
      <c r="L79" s="5">
        <v>42656</v>
      </c>
      <c r="M79" s="6">
        <v>0.95833333333333004</v>
      </c>
      <c r="N79" s="5">
        <v>42656</v>
      </c>
      <c r="Q79" s="12">
        <f t="shared" si="3"/>
        <v>42656.916666666664</v>
      </c>
      <c r="R79" s="12">
        <f t="shared" si="4"/>
        <v>42656.958333333336</v>
      </c>
      <c r="S79" s="13">
        <f t="shared" si="5"/>
        <v>4.1666666671517305E-2</v>
      </c>
    </row>
    <row r="80" spans="1:19" hidden="1" x14ac:dyDescent="0.2">
      <c r="A80" t="s">
        <v>222</v>
      </c>
      <c r="B80" t="s">
        <v>223</v>
      </c>
      <c r="C80" t="s">
        <v>3</v>
      </c>
      <c r="F80" s="5">
        <v>42663</v>
      </c>
      <c r="G80" t="s">
        <v>224</v>
      </c>
      <c r="H80" t="s">
        <v>5</v>
      </c>
      <c r="I80" s="5">
        <v>42663</v>
      </c>
      <c r="J80" s="5"/>
      <c r="K80" s="6">
        <v>0</v>
      </c>
      <c r="L80" s="5"/>
      <c r="M80" s="6">
        <v>0</v>
      </c>
      <c r="N80" s="5">
        <v>42663</v>
      </c>
      <c r="Q80" s="12">
        <f t="shared" si="3"/>
        <v>0</v>
      </c>
      <c r="R80" s="12">
        <f t="shared" si="4"/>
        <v>0</v>
      </c>
      <c r="S80" s="13">
        <f t="shared" si="5"/>
        <v>0</v>
      </c>
    </row>
    <row r="81" spans="1:19" hidden="1" x14ac:dyDescent="0.2">
      <c r="A81" t="s">
        <v>225</v>
      </c>
      <c r="B81" t="s">
        <v>226</v>
      </c>
      <c r="C81" t="s">
        <v>3</v>
      </c>
      <c r="F81" s="5">
        <v>42665</v>
      </c>
      <c r="G81" t="s">
        <v>227</v>
      </c>
      <c r="H81" t="s">
        <v>5</v>
      </c>
      <c r="I81" s="5">
        <v>42665</v>
      </c>
      <c r="J81" s="5"/>
      <c r="K81" s="6">
        <v>0</v>
      </c>
      <c r="L81" s="5"/>
      <c r="M81" s="6">
        <v>0</v>
      </c>
      <c r="N81" s="5">
        <v>42665</v>
      </c>
      <c r="Q81" s="12">
        <f t="shared" si="3"/>
        <v>0</v>
      </c>
      <c r="R81" s="12">
        <f t="shared" si="4"/>
        <v>0</v>
      </c>
      <c r="S81" s="13">
        <f t="shared" si="5"/>
        <v>0</v>
      </c>
    </row>
    <row r="82" spans="1:19" hidden="1" x14ac:dyDescent="0.2">
      <c r="A82" t="s">
        <v>228</v>
      </c>
      <c r="B82" t="s">
        <v>229</v>
      </c>
      <c r="C82" t="s">
        <v>3</v>
      </c>
      <c r="F82" s="5">
        <v>42710</v>
      </c>
      <c r="G82" t="s">
        <v>230</v>
      </c>
      <c r="H82" t="s">
        <v>5</v>
      </c>
      <c r="I82" s="5">
        <v>42746</v>
      </c>
      <c r="J82" s="5"/>
      <c r="K82" s="6">
        <v>0</v>
      </c>
      <c r="L82" s="5"/>
      <c r="M82" s="6">
        <v>0</v>
      </c>
      <c r="N82" s="5">
        <v>42710</v>
      </c>
      <c r="Q82" s="12">
        <f t="shared" si="3"/>
        <v>0</v>
      </c>
      <c r="R82" s="12">
        <f t="shared" si="4"/>
        <v>0</v>
      </c>
      <c r="S82" s="13">
        <f t="shared" si="5"/>
        <v>0</v>
      </c>
    </row>
    <row r="83" spans="1:19" hidden="1" x14ac:dyDescent="0.2">
      <c r="A83" t="s">
        <v>231</v>
      </c>
      <c r="B83" t="s">
        <v>232</v>
      </c>
      <c r="C83" t="s">
        <v>3</v>
      </c>
      <c r="F83" s="5">
        <v>42772</v>
      </c>
      <c r="G83" t="s">
        <v>233</v>
      </c>
      <c r="H83" t="s">
        <v>5</v>
      </c>
      <c r="I83" s="5">
        <v>42800</v>
      </c>
      <c r="J83" s="5">
        <v>42772</v>
      </c>
      <c r="K83" s="6">
        <v>0.45555555555555999</v>
      </c>
      <c r="L83" s="5">
        <v>42772</v>
      </c>
      <c r="M83" s="6">
        <v>0.49722222222222001</v>
      </c>
      <c r="N83" s="5">
        <v>42772</v>
      </c>
      <c r="Q83" s="12">
        <f t="shared" si="3"/>
        <v>42772.455555555556</v>
      </c>
      <c r="R83" s="12">
        <f t="shared" si="4"/>
        <v>42772.49722222222</v>
      </c>
      <c r="S83" s="13">
        <f t="shared" si="5"/>
        <v>4.1666666664241347E-2</v>
      </c>
    </row>
    <row r="84" spans="1:19" hidden="1" x14ac:dyDescent="0.2">
      <c r="A84" t="s">
        <v>234</v>
      </c>
      <c r="B84" t="s">
        <v>235</v>
      </c>
      <c r="C84" t="s">
        <v>3</v>
      </c>
      <c r="F84" s="5">
        <v>42796</v>
      </c>
      <c r="G84" t="s">
        <v>236</v>
      </c>
      <c r="H84" t="s">
        <v>5</v>
      </c>
      <c r="I84" s="5">
        <v>42796</v>
      </c>
      <c r="J84" s="5">
        <v>42796</v>
      </c>
      <c r="K84" s="6">
        <v>0.38263888888889003</v>
      </c>
      <c r="L84" s="5">
        <v>42796</v>
      </c>
      <c r="M84" s="6">
        <v>0.46875</v>
      </c>
      <c r="N84" s="5">
        <v>42796</v>
      </c>
      <c r="Q84" s="12">
        <f t="shared" si="3"/>
        <v>42796.382638888892</v>
      </c>
      <c r="R84" s="12">
        <f t="shared" si="4"/>
        <v>42796.46875</v>
      </c>
      <c r="S84" s="13">
        <f t="shared" si="5"/>
        <v>8.611111110803904E-2</v>
      </c>
    </row>
    <row r="85" spans="1:19" hidden="1" x14ac:dyDescent="0.2">
      <c r="A85" t="s">
        <v>237</v>
      </c>
      <c r="B85" t="s">
        <v>238</v>
      </c>
      <c r="C85" t="s">
        <v>3</v>
      </c>
      <c r="F85" s="5">
        <v>42828</v>
      </c>
      <c r="G85" t="s">
        <v>239</v>
      </c>
      <c r="H85" t="s">
        <v>5</v>
      </c>
      <c r="I85" s="5">
        <v>42828</v>
      </c>
      <c r="J85" s="5">
        <v>42826</v>
      </c>
      <c r="K85" s="6">
        <v>0.59722222222221999</v>
      </c>
      <c r="L85" s="5">
        <v>42826</v>
      </c>
      <c r="M85" s="6">
        <v>0.61805555555556002</v>
      </c>
      <c r="N85" s="5">
        <v>42828</v>
      </c>
      <c r="Q85" s="12">
        <f t="shared" si="3"/>
        <v>42826.597222222219</v>
      </c>
      <c r="R85" s="12">
        <f t="shared" si="4"/>
        <v>42826.618055555555</v>
      </c>
      <c r="S85" s="13">
        <f t="shared" si="5"/>
        <v>2.0833333335758653E-2</v>
      </c>
    </row>
    <row r="86" spans="1:19" hidden="1" x14ac:dyDescent="0.2">
      <c r="A86" t="s">
        <v>240</v>
      </c>
      <c r="B86" t="s">
        <v>241</v>
      </c>
      <c r="C86" t="s">
        <v>3</v>
      </c>
      <c r="F86" s="5">
        <v>42832</v>
      </c>
      <c r="G86" t="s">
        <v>242</v>
      </c>
      <c r="H86" t="s">
        <v>5</v>
      </c>
      <c r="I86" s="5">
        <v>43124</v>
      </c>
      <c r="J86" s="5">
        <v>42832</v>
      </c>
      <c r="K86" s="6">
        <v>0.33333333333332998</v>
      </c>
      <c r="L86" s="5">
        <v>42832</v>
      </c>
      <c r="M86" s="6">
        <v>0.375</v>
      </c>
      <c r="N86" s="5">
        <v>42832</v>
      </c>
      <c r="Q86" s="12">
        <f t="shared" si="3"/>
        <v>42832.333333333336</v>
      </c>
      <c r="R86" s="12">
        <f t="shared" si="4"/>
        <v>42832.375</v>
      </c>
      <c r="S86" s="13">
        <f t="shared" si="5"/>
        <v>4.1666666664241347E-2</v>
      </c>
    </row>
    <row r="87" spans="1:19" hidden="1" x14ac:dyDescent="0.2">
      <c r="A87" t="s">
        <v>243</v>
      </c>
      <c r="B87" t="s">
        <v>244</v>
      </c>
      <c r="C87" t="s">
        <v>82</v>
      </c>
      <c r="F87" s="5">
        <v>42881</v>
      </c>
      <c r="G87" t="s">
        <v>245</v>
      </c>
      <c r="H87" t="s">
        <v>5</v>
      </c>
      <c r="I87" s="5">
        <v>43116</v>
      </c>
      <c r="J87" s="5">
        <v>42881</v>
      </c>
      <c r="K87" s="6">
        <v>0.625</v>
      </c>
      <c r="L87" s="5">
        <v>42881</v>
      </c>
      <c r="M87" s="6">
        <v>0.66666666666666996</v>
      </c>
      <c r="N87" s="5">
        <v>42881</v>
      </c>
      <c r="Q87" s="12">
        <f t="shared" si="3"/>
        <v>42881.625</v>
      </c>
      <c r="R87" s="12">
        <f t="shared" si="4"/>
        <v>42881.666666666664</v>
      </c>
      <c r="S87" s="13">
        <f t="shared" si="5"/>
        <v>4.1666666664241347E-2</v>
      </c>
    </row>
    <row r="88" spans="1:19" hidden="1" x14ac:dyDescent="0.2">
      <c r="A88" t="s">
        <v>246</v>
      </c>
      <c r="B88" t="s">
        <v>247</v>
      </c>
      <c r="C88" t="s">
        <v>3</v>
      </c>
      <c r="F88" s="5">
        <v>42885</v>
      </c>
      <c r="G88" t="s">
        <v>248</v>
      </c>
      <c r="H88" t="s">
        <v>5</v>
      </c>
      <c r="I88" s="5">
        <v>42885</v>
      </c>
      <c r="J88" s="5">
        <v>42885</v>
      </c>
      <c r="K88" s="6">
        <v>0.41666666666667002</v>
      </c>
      <c r="L88" s="5">
        <v>42885</v>
      </c>
      <c r="M88" s="6">
        <v>0.54166666666666996</v>
      </c>
      <c r="N88" s="5">
        <v>42885</v>
      </c>
      <c r="Q88" s="12">
        <f t="shared" si="3"/>
        <v>42885.416666666664</v>
      </c>
      <c r="R88" s="12">
        <f t="shared" si="4"/>
        <v>42885.541666666664</v>
      </c>
      <c r="S88" s="13">
        <f t="shared" si="5"/>
        <v>0.125</v>
      </c>
    </row>
    <row r="89" spans="1:19" hidden="1" x14ac:dyDescent="0.2">
      <c r="A89" t="s">
        <v>249</v>
      </c>
      <c r="B89" t="s">
        <v>250</v>
      </c>
      <c r="C89" t="s">
        <v>3</v>
      </c>
      <c r="D89" s="11" t="s">
        <v>1266</v>
      </c>
      <c r="F89" s="5">
        <v>42895</v>
      </c>
      <c r="G89" t="s">
        <v>251</v>
      </c>
      <c r="H89" t="s">
        <v>5</v>
      </c>
      <c r="I89" s="5">
        <v>42895</v>
      </c>
      <c r="J89" s="5">
        <v>42888</v>
      </c>
      <c r="K89" s="6">
        <v>0.375</v>
      </c>
      <c r="L89" s="5">
        <v>42888</v>
      </c>
      <c r="M89" s="6">
        <v>0.41666666666667002</v>
      </c>
      <c r="N89" s="5">
        <v>42895</v>
      </c>
      <c r="Q89" s="12">
        <f t="shared" si="3"/>
        <v>42888.375</v>
      </c>
      <c r="R89" s="12">
        <f t="shared" si="4"/>
        <v>42888.416666666664</v>
      </c>
      <c r="S89" s="13">
        <f t="shared" si="5"/>
        <v>4.1666666664241347E-2</v>
      </c>
    </row>
    <row r="90" spans="1:19" hidden="1" x14ac:dyDescent="0.2">
      <c r="A90" t="s">
        <v>252</v>
      </c>
      <c r="B90" t="s">
        <v>253</v>
      </c>
      <c r="C90" t="s">
        <v>3</v>
      </c>
      <c r="F90" s="5">
        <v>42937</v>
      </c>
      <c r="G90" t="s">
        <v>254</v>
      </c>
      <c r="H90" t="s">
        <v>5</v>
      </c>
      <c r="I90" s="5">
        <v>43109</v>
      </c>
      <c r="J90" s="5">
        <v>42929</v>
      </c>
      <c r="K90" s="6">
        <v>0.66666666666666996</v>
      </c>
      <c r="L90" s="5">
        <v>42929</v>
      </c>
      <c r="M90" s="6">
        <v>0.72916666666666996</v>
      </c>
      <c r="N90" s="5">
        <v>42937</v>
      </c>
      <c r="Q90" s="12">
        <f t="shared" si="3"/>
        <v>42929.666666666664</v>
      </c>
      <c r="R90" s="12">
        <f t="shared" si="4"/>
        <v>42929.729166666664</v>
      </c>
      <c r="S90" s="13">
        <f t="shared" si="5"/>
        <v>6.25E-2</v>
      </c>
    </row>
    <row r="91" spans="1:19" hidden="1" x14ac:dyDescent="0.2">
      <c r="A91" t="s">
        <v>255</v>
      </c>
      <c r="B91" t="s">
        <v>256</v>
      </c>
      <c r="C91" t="s">
        <v>3</v>
      </c>
      <c r="F91" s="5">
        <v>42942</v>
      </c>
      <c r="G91" t="s">
        <v>257</v>
      </c>
      <c r="H91" t="s">
        <v>5</v>
      </c>
      <c r="I91" s="5">
        <v>43109</v>
      </c>
      <c r="J91" s="5">
        <v>42940</v>
      </c>
      <c r="K91" s="6">
        <v>0.33333333333332998</v>
      </c>
      <c r="L91" s="5">
        <v>42940</v>
      </c>
      <c r="M91" s="6">
        <v>0.36458333333332998</v>
      </c>
      <c r="N91" s="5">
        <v>42942</v>
      </c>
      <c r="Q91" s="12">
        <f t="shared" si="3"/>
        <v>42940.333333333336</v>
      </c>
      <c r="R91" s="12">
        <f t="shared" si="4"/>
        <v>42940.364583333336</v>
      </c>
      <c r="S91" s="13">
        <f t="shared" si="5"/>
        <v>3.125E-2</v>
      </c>
    </row>
    <row r="92" spans="1:19" hidden="1" x14ac:dyDescent="0.2">
      <c r="A92" t="s">
        <v>258</v>
      </c>
      <c r="B92" t="s">
        <v>259</v>
      </c>
      <c r="C92" t="s">
        <v>3</v>
      </c>
      <c r="F92" s="5">
        <v>42997</v>
      </c>
      <c r="G92" t="s">
        <v>260</v>
      </c>
      <c r="H92" t="s">
        <v>5</v>
      </c>
      <c r="I92" s="5">
        <v>43106</v>
      </c>
      <c r="J92" s="5">
        <v>42990</v>
      </c>
      <c r="K92" s="6">
        <v>0.83333333333333004</v>
      </c>
      <c r="L92" s="5">
        <v>42990</v>
      </c>
      <c r="M92" s="6">
        <v>0.95833333333333004</v>
      </c>
      <c r="N92" s="5">
        <v>42997</v>
      </c>
      <c r="Q92" s="12">
        <f t="shared" si="3"/>
        <v>42990.833333333336</v>
      </c>
      <c r="R92" s="12">
        <f t="shared" si="4"/>
        <v>42990.958333333336</v>
      </c>
      <c r="S92" s="13">
        <f t="shared" si="5"/>
        <v>0.125</v>
      </c>
    </row>
    <row r="93" spans="1:19" hidden="1" x14ac:dyDescent="0.2">
      <c r="A93" t="s">
        <v>261</v>
      </c>
      <c r="B93" t="s">
        <v>262</v>
      </c>
      <c r="C93" t="s">
        <v>82</v>
      </c>
      <c r="F93" s="5">
        <v>43026</v>
      </c>
      <c r="G93" t="s">
        <v>263</v>
      </c>
      <c r="H93" t="s">
        <v>5</v>
      </c>
      <c r="I93" s="5">
        <v>43111</v>
      </c>
      <c r="J93" s="5">
        <v>43026</v>
      </c>
      <c r="K93" s="6">
        <v>0.3125</v>
      </c>
      <c r="L93" s="5">
        <v>43026</v>
      </c>
      <c r="M93" s="6">
        <v>0.45833333333332998</v>
      </c>
      <c r="N93" s="5">
        <v>43026</v>
      </c>
      <c r="Q93" s="12">
        <f t="shared" si="3"/>
        <v>43026.3125</v>
      </c>
      <c r="R93" s="12">
        <f t="shared" si="4"/>
        <v>43026.458333333336</v>
      </c>
      <c r="S93" s="13">
        <f t="shared" si="5"/>
        <v>0.14583333333575865</v>
      </c>
    </row>
    <row r="94" spans="1:19" hidden="1" x14ac:dyDescent="0.2">
      <c r="A94" t="s">
        <v>264</v>
      </c>
      <c r="B94" t="s">
        <v>265</v>
      </c>
      <c r="C94" t="s">
        <v>3</v>
      </c>
      <c r="F94" s="5">
        <v>43119</v>
      </c>
      <c r="G94" t="s">
        <v>266</v>
      </c>
      <c r="H94" t="s">
        <v>5</v>
      </c>
      <c r="I94" s="5">
        <v>43139</v>
      </c>
      <c r="J94" s="5">
        <v>43119</v>
      </c>
      <c r="K94" s="6">
        <v>0.33333333333332998</v>
      </c>
      <c r="L94" s="5">
        <v>43119</v>
      </c>
      <c r="M94" s="6">
        <v>0.375</v>
      </c>
      <c r="N94" s="5">
        <v>43119</v>
      </c>
      <c r="Q94" s="12">
        <f t="shared" si="3"/>
        <v>43119.333333333336</v>
      </c>
      <c r="R94" s="12">
        <f t="shared" si="4"/>
        <v>43119.375</v>
      </c>
      <c r="S94" s="13">
        <f t="shared" si="5"/>
        <v>4.1666666664241347E-2</v>
      </c>
    </row>
    <row r="95" spans="1:19" hidden="1" x14ac:dyDescent="0.2">
      <c r="A95" t="s">
        <v>267</v>
      </c>
      <c r="B95" t="s">
        <v>268</v>
      </c>
      <c r="C95" t="s">
        <v>3</v>
      </c>
      <c r="F95" s="5">
        <v>43164</v>
      </c>
      <c r="G95" t="s">
        <v>269</v>
      </c>
      <c r="H95" t="s">
        <v>5</v>
      </c>
      <c r="I95" s="5">
        <v>43171</v>
      </c>
      <c r="J95" s="5">
        <v>43165</v>
      </c>
      <c r="K95" s="6">
        <v>0.58333333333333004</v>
      </c>
      <c r="L95" s="5">
        <v>43165</v>
      </c>
      <c r="M95" s="6">
        <v>0.70833333333333004</v>
      </c>
      <c r="N95" s="5">
        <v>43164</v>
      </c>
      <c r="Q95" s="12">
        <f t="shared" si="3"/>
        <v>43165.583333333336</v>
      </c>
      <c r="R95" s="12">
        <f t="shared" si="4"/>
        <v>43165.708333333336</v>
      </c>
      <c r="S95" s="13">
        <f t="shared" si="5"/>
        <v>0.125</v>
      </c>
    </row>
    <row r="96" spans="1:19" hidden="1" x14ac:dyDescent="0.2">
      <c r="A96" t="s">
        <v>270</v>
      </c>
      <c r="B96" t="s">
        <v>271</v>
      </c>
      <c r="C96" t="s">
        <v>82</v>
      </c>
      <c r="F96" s="5">
        <v>43176</v>
      </c>
      <c r="G96" t="s">
        <v>272</v>
      </c>
      <c r="H96" t="s">
        <v>5</v>
      </c>
      <c r="I96" s="5">
        <v>43179</v>
      </c>
      <c r="J96" s="5">
        <v>43176</v>
      </c>
      <c r="K96" s="6">
        <v>0.39583333333332998</v>
      </c>
      <c r="L96" s="5">
        <v>43176</v>
      </c>
      <c r="M96" s="6">
        <v>0.66666666666666996</v>
      </c>
      <c r="N96" s="5">
        <v>43176</v>
      </c>
      <c r="Q96" s="12">
        <f t="shared" si="3"/>
        <v>43176.395833333336</v>
      </c>
      <c r="R96" s="12">
        <f t="shared" si="4"/>
        <v>43176.666666666664</v>
      </c>
      <c r="S96" s="13">
        <f t="shared" si="5"/>
        <v>0.27083333332848269</v>
      </c>
    </row>
    <row r="97" spans="1:19" hidden="1" x14ac:dyDescent="0.2">
      <c r="A97" t="s">
        <v>273</v>
      </c>
      <c r="B97" t="s">
        <v>274</v>
      </c>
      <c r="C97" t="s">
        <v>82</v>
      </c>
      <c r="F97" s="5">
        <v>43178</v>
      </c>
      <c r="G97" t="s">
        <v>275</v>
      </c>
      <c r="H97" t="s">
        <v>5</v>
      </c>
      <c r="I97" s="5">
        <v>43185</v>
      </c>
      <c r="J97" s="5">
        <v>43178</v>
      </c>
      <c r="K97" s="6">
        <v>0.41666666666667002</v>
      </c>
      <c r="L97" s="5">
        <v>43179</v>
      </c>
      <c r="M97" s="6">
        <v>0.20833333333333001</v>
      </c>
      <c r="N97" s="5">
        <v>43178</v>
      </c>
      <c r="Q97" s="12">
        <f t="shared" si="3"/>
        <v>43178.416666666664</v>
      </c>
      <c r="R97" s="12">
        <f t="shared" si="4"/>
        <v>43179.208333333336</v>
      </c>
      <c r="S97" s="13">
        <f t="shared" si="5"/>
        <v>0.79166666667151731</v>
      </c>
    </row>
    <row r="98" spans="1:19" hidden="1" x14ac:dyDescent="0.2">
      <c r="A98" t="s">
        <v>276</v>
      </c>
      <c r="B98" t="s">
        <v>277</v>
      </c>
      <c r="C98" t="s">
        <v>82</v>
      </c>
      <c r="F98" s="5">
        <v>43185</v>
      </c>
      <c r="G98" t="s">
        <v>278</v>
      </c>
      <c r="H98" t="s">
        <v>5</v>
      </c>
      <c r="I98" s="5">
        <v>43222</v>
      </c>
      <c r="J98" s="5">
        <v>43214</v>
      </c>
      <c r="K98" s="6">
        <v>0.41666666666667002</v>
      </c>
      <c r="L98" s="5">
        <v>43214</v>
      </c>
      <c r="M98" s="6">
        <v>0.625</v>
      </c>
      <c r="N98" s="5">
        <v>43185</v>
      </c>
      <c r="Q98" s="12">
        <f t="shared" si="3"/>
        <v>43214.416666666664</v>
      </c>
      <c r="R98" s="12">
        <f t="shared" si="4"/>
        <v>43214.625</v>
      </c>
      <c r="S98" s="13">
        <f t="shared" si="5"/>
        <v>0.20833333333575865</v>
      </c>
    </row>
    <row r="99" spans="1:19" hidden="1" x14ac:dyDescent="0.2">
      <c r="A99" t="s">
        <v>279</v>
      </c>
      <c r="B99" t="s">
        <v>280</v>
      </c>
      <c r="C99" t="s">
        <v>3</v>
      </c>
      <c r="F99" s="5">
        <v>43250</v>
      </c>
      <c r="G99" t="s">
        <v>281</v>
      </c>
      <c r="H99" t="s">
        <v>5</v>
      </c>
      <c r="I99" s="5">
        <v>43285</v>
      </c>
      <c r="J99" s="5">
        <v>43250</v>
      </c>
      <c r="K99" s="6">
        <v>0.33333333333332998</v>
      </c>
      <c r="L99" s="5">
        <v>43250</v>
      </c>
      <c r="M99" s="6">
        <v>0.36111111111110999</v>
      </c>
      <c r="N99" s="5">
        <v>43250</v>
      </c>
      <c r="Q99" s="12">
        <f t="shared" si="3"/>
        <v>43250.333333333336</v>
      </c>
      <c r="R99" s="12">
        <f t="shared" si="4"/>
        <v>43250.361111111109</v>
      </c>
      <c r="S99" s="13">
        <f t="shared" si="5"/>
        <v>2.7777777773735579E-2</v>
      </c>
    </row>
    <row r="100" spans="1:19" hidden="1" x14ac:dyDescent="0.2">
      <c r="A100" t="s">
        <v>282</v>
      </c>
      <c r="B100" t="s">
        <v>283</v>
      </c>
      <c r="C100" t="s">
        <v>82</v>
      </c>
      <c r="F100" s="5">
        <v>43266</v>
      </c>
      <c r="G100" t="s">
        <v>284</v>
      </c>
      <c r="H100" t="s">
        <v>5</v>
      </c>
      <c r="I100" s="5">
        <v>43472</v>
      </c>
      <c r="J100" s="5">
        <v>43266</v>
      </c>
      <c r="K100" s="6">
        <v>0.375</v>
      </c>
      <c r="L100" s="5">
        <v>43266</v>
      </c>
      <c r="M100" s="6">
        <v>0.4375</v>
      </c>
      <c r="N100" s="5">
        <v>43266</v>
      </c>
      <c r="Q100" s="12">
        <f t="shared" si="3"/>
        <v>43266.375</v>
      </c>
      <c r="R100" s="12">
        <f t="shared" si="4"/>
        <v>43266.4375</v>
      </c>
      <c r="S100" s="13">
        <f t="shared" si="5"/>
        <v>6.25E-2</v>
      </c>
    </row>
    <row r="101" spans="1:19" hidden="1" x14ac:dyDescent="0.2">
      <c r="A101" t="s">
        <v>285</v>
      </c>
      <c r="B101" t="s">
        <v>286</v>
      </c>
      <c r="C101" t="s">
        <v>82</v>
      </c>
      <c r="F101" s="5">
        <v>43276</v>
      </c>
      <c r="G101" t="s">
        <v>287</v>
      </c>
      <c r="H101" t="s">
        <v>5</v>
      </c>
      <c r="I101" s="5">
        <v>43278</v>
      </c>
      <c r="J101" s="5">
        <v>43276</v>
      </c>
      <c r="K101" s="6">
        <v>0</v>
      </c>
      <c r="L101" s="5">
        <v>43276</v>
      </c>
      <c r="M101" s="6">
        <v>0</v>
      </c>
      <c r="N101" s="5">
        <v>43276</v>
      </c>
      <c r="Q101" s="12">
        <f t="shared" si="3"/>
        <v>43276</v>
      </c>
      <c r="R101" s="12">
        <f t="shared" si="4"/>
        <v>43276</v>
      </c>
      <c r="S101" s="13">
        <f t="shared" si="5"/>
        <v>0</v>
      </c>
    </row>
    <row r="102" spans="1:19" hidden="1" x14ac:dyDescent="0.2">
      <c r="A102" t="s">
        <v>288</v>
      </c>
      <c r="B102" t="s">
        <v>289</v>
      </c>
      <c r="C102" t="s">
        <v>3</v>
      </c>
      <c r="F102" s="5">
        <v>43301</v>
      </c>
      <c r="G102" t="s">
        <v>290</v>
      </c>
      <c r="H102" t="s">
        <v>5</v>
      </c>
      <c r="I102" s="5">
        <v>43378</v>
      </c>
      <c r="J102" s="5">
        <v>43294</v>
      </c>
      <c r="K102" s="6">
        <v>0.375</v>
      </c>
      <c r="L102" s="5">
        <v>43294</v>
      </c>
      <c r="M102" s="6">
        <v>0.45833333333332998</v>
      </c>
      <c r="N102" s="5">
        <v>43301</v>
      </c>
      <c r="Q102" s="12">
        <f t="shared" si="3"/>
        <v>43294.375</v>
      </c>
      <c r="R102" s="12">
        <f t="shared" si="4"/>
        <v>43294.458333333336</v>
      </c>
      <c r="S102" s="13">
        <f t="shared" si="5"/>
        <v>8.3333333335758653E-2</v>
      </c>
    </row>
    <row r="103" spans="1:19" hidden="1" x14ac:dyDescent="0.2">
      <c r="A103" t="s">
        <v>291</v>
      </c>
      <c r="B103" t="s">
        <v>292</v>
      </c>
      <c r="C103" t="s">
        <v>3</v>
      </c>
      <c r="F103" s="5">
        <v>43336</v>
      </c>
      <c r="G103" t="s">
        <v>293</v>
      </c>
      <c r="H103" t="s">
        <v>5</v>
      </c>
      <c r="I103" s="5">
        <v>43336</v>
      </c>
      <c r="J103" s="5">
        <v>43336</v>
      </c>
      <c r="K103" s="6">
        <v>0.3125</v>
      </c>
      <c r="L103" s="5">
        <v>43336</v>
      </c>
      <c r="M103" s="6">
        <v>0.39583333333332998</v>
      </c>
      <c r="N103" s="5">
        <v>43336</v>
      </c>
      <c r="Q103" s="12">
        <f t="shared" si="3"/>
        <v>43336.3125</v>
      </c>
      <c r="R103" s="12">
        <f t="shared" si="4"/>
        <v>43336.395833333336</v>
      </c>
      <c r="S103" s="13">
        <f t="shared" si="5"/>
        <v>8.3333333335758653E-2</v>
      </c>
    </row>
    <row r="104" spans="1:19" hidden="1" x14ac:dyDescent="0.2">
      <c r="A104" t="s">
        <v>294</v>
      </c>
      <c r="B104" t="s">
        <v>295</v>
      </c>
      <c r="C104" t="s">
        <v>3</v>
      </c>
      <c r="F104" s="5">
        <v>43340</v>
      </c>
      <c r="G104" t="s">
        <v>296</v>
      </c>
      <c r="H104" t="s">
        <v>5</v>
      </c>
      <c r="I104" s="5">
        <v>43378</v>
      </c>
      <c r="J104" s="5">
        <v>43339</v>
      </c>
      <c r="K104" s="6">
        <v>0.91666666666666996</v>
      </c>
      <c r="L104" s="5">
        <v>43340</v>
      </c>
      <c r="M104" s="6">
        <v>0.41666666666667002</v>
      </c>
      <c r="N104" s="5">
        <v>43340</v>
      </c>
      <c r="Q104" s="12">
        <f t="shared" si="3"/>
        <v>43339.916666666664</v>
      </c>
      <c r="R104" s="12">
        <f t="shared" si="4"/>
        <v>43340.416666666664</v>
      </c>
      <c r="S104" s="13">
        <f t="shared" si="5"/>
        <v>0.5</v>
      </c>
    </row>
    <row r="105" spans="1:19" hidden="1" x14ac:dyDescent="0.2">
      <c r="A105" t="s">
        <v>297</v>
      </c>
      <c r="B105" t="s">
        <v>298</v>
      </c>
      <c r="C105" t="s">
        <v>3</v>
      </c>
      <c r="F105" s="5">
        <v>43347</v>
      </c>
      <c r="G105" t="s">
        <v>299</v>
      </c>
      <c r="H105" t="s">
        <v>5</v>
      </c>
      <c r="I105" s="5">
        <v>43378</v>
      </c>
      <c r="J105" s="5">
        <v>43339</v>
      </c>
      <c r="K105" s="6">
        <v>0.29166666666667002</v>
      </c>
      <c r="L105" s="5">
        <v>43340</v>
      </c>
      <c r="M105" s="6">
        <v>2.0833333333330002E-2</v>
      </c>
      <c r="N105" s="5">
        <v>43347</v>
      </c>
      <c r="Q105" s="12">
        <f t="shared" si="3"/>
        <v>43339.291666666664</v>
      </c>
      <c r="R105" s="12">
        <f t="shared" si="4"/>
        <v>43340.020833333336</v>
      </c>
      <c r="S105" s="13">
        <f t="shared" si="5"/>
        <v>0.72916666667151731</v>
      </c>
    </row>
    <row r="106" spans="1:19" hidden="1" x14ac:dyDescent="0.2">
      <c r="A106" t="s">
        <v>300</v>
      </c>
      <c r="B106" t="s">
        <v>301</v>
      </c>
      <c r="C106" t="s">
        <v>82</v>
      </c>
      <c r="F106" s="5">
        <v>43399</v>
      </c>
      <c r="G106" t="s">
        <v>302</v>
      </c>
      <c r="H106" t="s">
        <v>5</v>
      </c>
      <c r="I106" s="5">
        <v>43403</v>
      </c>
      <c r="J106" s="5">
        <v>43404</v>
      </c>
      <c r="K106" s="6">
        <v>0</v>
      </c>
      <c r="L106" s="5">
        <v>43404</v>
      </c>
      <c r="M106" s="6">
        <v>0</v>
      </c>
      <c r="N106" s="5">
        <v>43399</v>
      </c>
      <c r="Q106" s="12">
        <f t="shared" si="3"/>
        <v>43404</v>
      </c>
      <c r="R106" s="12">
        <f t="shared" si="4"/>
        <v>43404</v>
      </c>
      <c r="S106" s="13">
        <f t="shared" si="5"/>
        <v>0</v>
      </c>
    </row>
    <row r="107" spans="1:19" hidden="1" x14ac:dyDescent="0.2">
      <c r="A107" t="s">
        <v>303</v>
      </c>
      <c r="B107" t="s">
        <v>304</v>
      </c>
      <c r="C107" t="s">
        <v>3</v>
      </c>
      <c r="F107" s="5">
        <v>43440</v>
      </c>
      <c r="G107" t="s">
        <v>305</v>
      </c>
      <c r="H107" t="s">
        <v>5</v>
      </c>
      <c r="I107" s="5">
        <v>43440</v>
      </c>
      <c r="J107" s="5">
        <v>43441</v>
      </c>
      <c r="K107" s="6">
        <v>0</v>
      </c>
      <c r="L107" s="5">
        <v>43441</v>
      </c>
      <c r="M107" s="6">
        <v>0</v>
      </c>
      <c r="N107" s="5">
        <v>43440</v>
      </c>
      <c r="Q107" s="12">
        <f t="shared" si="3"/>
        <v>43441</v>
      </c>
      <c r="R107" s="12">
        <f t="shared" si="4"/>
        <v>43441</v>
      </c>
      <c r="S107" s="13">
        <f t="shared" si="5"/>
        <v>0</v>
      </c>
    </row>
    <row r="108" spans="1:19" hidden="1" x14ac:dyDescent="0.2">
      <c r="A108" t="s">
        <v>306</v>
      </c>
      <c r="B108" t="s">
        <v>307</v>
      </c>
      <c r="C108" t="s">
        <v>3</v>
      </c>
      <c r="F108" s="5">
        <v>43454</v>
      </c>
      <c r="G108" t="s">
        <v>308</v>
      </c>
      <c r="H108" t="s">
        <v>5</v>
      </c>
      <c r="I108" s="5">
        <v>43454</v>
      </c>
      <c r="J108" s="5">
        <v>43453</v>
      </c>
      <c r="K108" s="6">
        <v>0.97222222222221999</v>
      </c>
      <c r="L108" s="5">
        <v>43454</v>
      </c>
      <c r="M108" s="6">
        <v>0.10972222222222</v>
      </c>
      <c r="N108" s="5">
        <v>43454</v>
      </c>
      <c r="Q108" s="12">
        <f t="shared" si="3"/>
        <v>43453.972222222219</v>
      </c>
      <c r="R108" s="12">
        <f t="shared" si="4"/>
        <v>43454.109722222223</v>
      </c>
      <c r="S108" s="13">
        <f t="shared" si="5"/>
        <v>0.13750000000436557</v>
      </c>
    </row>
    <row r="109" spans="1:19" hidden="1" x14ac:dyDescent="0.2">
      <c r="A109" t="s">
        <v>309</v>
      </c>
      <c r="B109" t="s">
        <v>310</v>
      </c>
      <c r="C109" t="s">
        <v>3</v>
      </c>
      <c r="F109" s="5">
        <v>43487</v>
      </c>
      <c r="G109" t="s">
        <v>311</v>
      </c>
      <c r="H109" t="s">
        <v>5</v>
      </c>
      <c r="I109" s="5">
        <v>43496</v>
      </c>
      <c r="J109" s="5">
        <v>43487</v>
      </c>
      <c r="K109" s="6">
        <v>0.25</v>
      </c>
      <c r="L109" s="5">
        <v>43487</v>
      </c>
      <c r="M109" s="6">
        <v>0.4375</v>
      </c>
      <c r="N109" s="5">
        <v>43487</v>
      </c>
      <c r="Q109" s="12">
        <f t="shared" si="3"/>
        <v>43487.25</v>
      </c>
      <c r="R109" s="12">
        <f t="shared" si="4"/>
        <v>43487.4375</v>
      </c>
      <c r="S109" s="13">
        <f t="shared" si="5"/>
        <v>0.1875</v>
      </c>
    </row>
    <row r="110" spans="1:19" hidden="1" x14ac:dyDescent="0.2">
      <c r="A110" t="s">
        <v>312</v>
      </c>
      <c r="B110" t="s">
        <v>313</v>
      </c>
      <c r="C110" t="s">
        <v>82</v>
      </c>
      <c r="F110" s="5">
        <v>43504</v>
      </c>
      <c r="G110" t="s">
        <v>314</v>
      </c>
      <c r="H110" t="s">
        <v>5</v>
      </c>
      <c r="I110" s="5">
        <v>43528</v>
      </c>
      <c r="J110" s="5">
        <v>43504</v>
      </c>
      <c r="K110" s="6">
        <v>0</v>
      </c>
      <c r="L110" s="5">
        <v>43504</v>
      </c>
      <c r="M110" s="6">
        <v>0.375</v>
      </c>
      <c r="N110" s="5">
        <v>43504</v>
      </c>
      <c r="Q110" s="12">
        <f t="shared" si="3"/>
        <v>43504</v>
      </c>
      <c r="R110" s="12">
        <f t="shared" si="4"/>
        <v>43504.375</v>
      </c>
      <c r="S110" s="13">
        <f t="shared" si="5"/>
        <v>0.375</v>
      </c>
    </row>
    <row r="111" spans="1:19" hidden="1" x14ac:dyDescent="0.2">
      <c r="A111" t="s">
        <v>315</v>
      </c>
      <c r="B111" t="s">
        <v>316</v>
      </c>
      <c r="C111" t="s">
        <v>3</v>
      </c>
      <c r="F111" s="5">
        <v>43605</v>
      </c>
      <c r="G111" t="s">
        <v>317</v>
      </c>
      <c r="H111" t="s">
        <v>5</v>
      </c>
      <c r="I111" s="5">
        <v>43605</v>
      </c>
      <c r="J111" s="5">
        <v>43601</v>
      </c>
      <c r="K111" s="6">
        <v>0.70833333333333004</v>
      </c>
      <c r="L111" s="5">
        <v>43606</v>
      </c>
      <c r="M111" s="6">
        <v>0.625</v>
      </c>
      <c r="N111" s="5">
        <v>43605</v>
      </c>
      <c r="Q111" s="12">
        <f t="shared" si="3"/>
        <v>43601.708333333336</v>
      </c>
      <c r="R111" s="12">
        <f t="shared" si="4"/>
        <v>43606.625</v>
      </c>
      <c r="S111" s="13">
        <f t="shared" si="5"/>
        <v>4.9166666666642413</v>
      </c>
    </row>
    <row r="112" spans="1:19" hidden="1" x14ac:dyDescent="0.2">
      <c r="A112" t="s">
        <v>318</v>
      </c>
      <c r="B112" t="s">
        <v>319</v>
      </c>
      <c r="C112" t="s">
        <v>3</v>
      </c>
      <c r="F112" s="5">
        <v>43636</v>
      </c>
      <c r="G112" t="s">
        <v>320</v>
      </c>
      <c r="H112" t="s">
        <v>5</v>
      </c>
      <c r="I112" s="5">
        <v>43634</v>
      </c>
      <c r="J112" s="5">
        <v>43634</v>
      </c>
      <c r="K112" s="6">
        <v>0</v>
      </c>
      <c r="L112" s="5">
        <v>43634</v>
      </c>
      <c r="M112" s="6">
        <v>0</v>
      </c>
      <c r="N112" s="5">
        <v>43636</v>
      </c>
      <c r="Q112" s="12">
        <f t="shared" si="3"/>
        <v>43634</v>
      </c>
      <c r="R112" s="12">
        <f t="shared" si="4"/>
        <v>43634</v>
      </c>
      <c r="S112" s="13">
        <f t="shared" si="5"/>
        <v>0</v>
      </c>
    </row>
    <row r="113" spans="1:19" hidden="1" x14ac:dyDescent="0.2">
      <c r="A113" t="s">
        <v>321</v>
      </c>
      <c r="B113" t="s">
        <v>322</v>
      </c>
      <c r="C113" t="s">
        <v>3</v>
      </c>
      <c r="F113" s="5">
        <v>43698</v>
      </c>
      <c r="G113" t="s">
        <v>323</v>
      </c>
      <c r="H113" t="s">
        <v>5</v>
      </c>
      <c r="I113" s="5">
        <v>43706</v>
      </c>
      <c r="J113" s="5">
        <v>43679</v>
      </c>
      <c r="K113" s="6">
        <v>0.25</v>
      </c>
      <c r="L113" s="5">
        <v>43679</v>
      </c>
      <c r="M113" s="6">
        <v>0.33333333333332998</v>
      </c>
      <c r="N113" s="5">
        <v>43698</v>
      </c>
      <c r="Q113" s="12">
        <f t="shared" si="3"/>
        <v>43679.25</v>
      </c>
      <c r="R113" s="12">
        <f t="shared" si="4"/>
        <v>43679.333333333336</v>
      </c>
      <c r="S113" s="13">
        <f t="shared" si="5"/>
        <v>8.3333333335758653E-2</v>
      </c>
    </row>
    <row r="114" spans="1:19" hidden="1" x14ac:dyDescent="0.2">
      <c r="A114" t="s">
        <v>324</v>
      </c>
      <c r="B114" t="s">
        <v>325</v>
      </c>
      <c r="C114" t="s">
        <v>3</v>
      </c>
      <c r="F114" s="5">
        <v>43882</v>
      </c>
      <c r="G114" t="s">
        <v>326</v>
      </c>
      <c r="H114" t="s">
        <v>327</v>
      </c>
      <c r="I114" s="5">
        <v>43882</v>
      </c>
      <c r="J114" s="5">
        <v>43834</v>
      </c>
      <c r="K114" s="6">
        <v>0.35416666666667002</v>
      </c>
      <c r="L114" s="5">
        <v>43834</v>
      </c>
      <c r="M114" s="6">
        <v>0.40277777777778001</v>
      </c>
      <c r="N114" s="5">
        <v>43882</v>
      </c>
      <c r="Q114" s="12">
        <f t="shared" si="3"/>
        <v>43834.354166666664</v>
      </c>
      <c r="R114" s="12">
        <f t="shared" si="4"/>
        <v>43834.402777777781</v>
      </c>
      <c r="S114" s="13">
        <f t="shared" si="5"/>
        <v>4.8611111116770189E-2</v>
      </c>
    </row>
    <row r="115" spans="1:19" hidden="1" x14ac:dyDescent="0.2">
      <c r="A115" t="s">
        <v>328</v>
      </c>
      <c r="B115" t="s">
        <v>329</v>
      </c>
      <c r="C115" t="s">
        <v>3</v>
      </c>
      <c r="D115" s="11" t="s">
        <v>1268</v>
      </c>
      <c r="F115" s="5">
        <v>43894</v>
      </c>
      <c r="G115" t="s">
        <v>330</v>
      </c>
      <c r="H115" t="s">
        <v>5</v>
      </c>
      <c r="I115" s="5">
        <v>43894</v>
      </c>
      <c r="J115" s="5">
        <v>43865</v>
      </c>
      <c r="K115" s="6">
        <v>0.60416666666666996</v>
      </c>
      <c r="L115" s="5">
        <v>43865</v>
      </c>
      <c r="M115" s="6">
        <v>0.625</v>
      </c>
      <c r="N115" s="5">
        <v>43894</v>
      </c>
      <c r="Q115" s="12">
        <f t="shared" si="3"/>
        <v>43865.604166666664</v>
      </c>
      <c r="R115" s="12">
        <f t="shared" si="4"/>
        <v>43865.625</v>
      </c>
      <c r="S115" s="13">
        <f t="shared" si="5"/>
        <v>2.0833333335758653E-2</v>
      </c>
    </row>
    <row r="116" spans="1:19" hidden="1" x14ac:dyDescent="0.2">
      <c r="A116" t="s">
        <v>331</v>
      </c>
      <c r="B116" t="s">
        <v>332</v>
      </c>
      <c r="C116" t="s">
        <v>3</v>
      </c>
      <c r="F116" s="5">
        <v>43895</v>
      </c>
      <c r="G116" t="s">
        <v>333</v>
      </c>
      <c r="H116" t="s">
        <v>5</v>
      </c>
      <c r="I116" s="5">
        <v>43895</v>
      </c>
      <c r="J116" s="5">
        <v>43882</v>
      </c>
      <c r="K116" s="6">
        <v>0.3125</v>
      </c>
      <c r="L116" s="5">
        <v>43882</v>
      </c>
      <c r="M116" s="6">
        <v>0.33333333333332998</v>
      </c>
      <c r="N116" s="5">
        <v>43895</v>
      </c>
      <c r="Q116" s="12">
        <f t="shared" si="3"/>
        <v>43882.3125</v>
      </c>
      <c r="R116" s="12">
        <f t="shared" si="4"/>
        <v>43882.333333333336</v>
      </c>
      <c r="S116" s="13">
        <f t="shared" si="5"/>
        <v>2.0833333335758653E-2</v>
      </c>
    </row>
    <row r="117" spans="1:19" hidden="1" x14ac:dyDescent="0.2">
      <c r="A117" t="s">
        <v>334</v>
      </c>
      <c r="B117" t="s">
        <v>335</v>
      </c>
      <c r="C117" t="s">
        <v>3</v>
      </c>
      <c r="F117" s="5">
        <v>43896</v>
      </c>
      <c r="G117" t="s">
        <v>336</v>
      </c>
      <c r="H117" t="s">
        <v>5</v>
      </c>
      <c r="I117" s="5">
        <v>43896</v>
      </c>
      <c r="J117" s="5">
        <v>43887</v>
      </c>
      <c r="K117" s="6">
        <v>0.3125</v>
      </c>
      <c r="L117" s="5">
        <v>43887</v>
      </c>
      <c r="M117" s="6">
        <v>0.35416666666667002</v>
      </c>
      <c r="N117" s="5">
        <v>43896</v>
      </c>
      <c r="Q117" s="12">
        <f t="shared" si="3"/>
        <v>43887.3125</v>
      </c>
      <c r="R117" s="12">
        <f t="shared" si="4"/>
        <v>43887.354166666664</v>
      </c>
      <c r="S117" s="13">
        <f t="shared" si="5"/>
        <v>4.1666666664241347E-2</v>
      </c>
    </row>
    <row r="118" spans="1:19" hidden="1" x14ac:dyDescent="0.2">
      <c r="A118" t="s">
        <v>337</v>
      </c>
      <c r="B118" t="s">
        <v>338</v>
      </c>
      <c r="C118" t="s">
        <v>3</v>
      </c>
      <c r="F118" s="5">
        <v>43900</v>
      </c>
      <c r="G118" t="s">
        <v>339</v>
      </c>
      <c r="H118" t="s">
        <v>5</v>
      </c>
      <c r="I118" s="5">
        <v>43900</v>
      </c>
      <c r="J118" s="5">
        <v>43900</v>
      </c>
      <c r="K118" s="6">
        <v>0.33333333333332998</v>
      </c>
      <c r="L118" s="5">
        <v>43900</v>
      </c>
      <c r="M118" s="6">
        <v>0.39583333333332998</v>
      </c>
      <c r="N118" s="5">
        <v>43900</v>
      </c>
      <c r="Q118" s="12">
        <f t="shared" si="3"/>
        <v>43900.333333333336</v>
      </c>
      <c r="R118" s="12">
        <f t="shared" si="4"/>
        <v>43900.395833333336</v>
      </c>
      <c r="S118" s="13">
        <f t="shared" si="5"/>
        <v>6.25E-2</v>
      </c>
    </row>
    <row r="119" spans="1:19" hidden="1" x14ac:dyDescent="0.2">
      <c r="A119" t="s">
        <v>340</v>
      </c>
      <c r="B119" t="s">
        <v>341</v>
      </c>
      <c r="C119" t="s">
        <v>3</v>
      </c>
      <c r="F119" s="5">
        <v>43902</v>
      </c>
      <c r="G119" t="s">
        <v>342</v>
      </c>
      <c r="H119" t="s">
        <v>5</v>
      </c>
      <c r="I119" s="5">
        <v>43901</v>
      </c>
      <c r="J119" s="5">
        <v>43901</v>
      </c>
      <c r="K119" s="6">
        <v>0.91666666666666996</v>
      </c>
      <c r="L119" s="5">
        <v>43901</v>
      </c>
      <c r="M119" s="6">
        <v>0.9375</v>
      </c>
      <c r="N119" s="5">
        <v>43902</v>
      </c>
      <c r="Q119" s="12">
        <f t="shared" si="3"/>
        <v>43901.916666666664</v>
      </c>
      <c r="R119" s="12">
        <f t="shared" si="4"/>
        <v>43901.9375</v>
      </c>
      <c r="S119" s="13">
        <f t="shared" si="5"/>
        <v>2.0833333335758653E-2</v>
      </c>
    </row>
    <row r="120" spans="1:19" hidden="1" x14ac:dyDescent="0.2">
      <c r="A120" t="s">
        <v>343</v>
      </c>
      <c r="B120" t="s">
        <v>344</v>
      </c>
      <c r="C120" t="s">
        <v>3</v>
      </c>
      <c r="F120" s="5">
        <v>43928</v>
      </c>
      <c r="G120" t="s">
        <v>339</v>
      </c>
      <c r="H120" t="s">
        <v>5</v>
      </c>
      <c r="I120" s="5">
        <v>43928</v>
      </c>
      <c r="J120" s="5">
        <v>43901</v>
      </c>
      <c r="K120" s="6">
        <v>0.9375</v>
      </c>
      <c r="L120" s="5">
        <v>43901</v>
      </c>
      <c r="M120" s="6">
        <v>0.94444444444443998</v>
      </c>
      <c r="N120" s="5">
        <v>43928</v>
      </c>
      <c r="Q120" s="12">
        <f t="shared" si="3"/>
        <v>43901.9375</v>
      </c>
      <c r="R120" s="12">
        <f t="shared" si="4"/>
        <v>43901.944444444445</v>
      </c>
      <c r="S120" s="13">
        <f t="shared" si="5"/>
        <v>6.9444444452528842E-3</v>
      </c>
    </row>
    <row r="121" spans="1:19" hidden="1" x14ac:dyDescent="0.2">
      <c r="A121" t="s">
        <v>345</v>
      </c>
      <c r="B121" t="s">
        <v>346</v>
      </c>
      <c r="C121" t="s">
        <v>3</v>
      </c>
      <c r="D121" s="11" t="s">
        <v>1266</v>
      </c>
      <c r="F121" s="5">
        <v>43928</v>
      </c>
      <c r="G121" t="s">
        <v>347</v>
      </c>
      <c r="H121" t="s">
        <v>5</v>
      </c>
      <c r="I121" s="5">
        <v>43928</v>
      </c>
      <c r="J121" s="5">
        <v>43902</v>
      </c>
      <c r="K121" s="6">
        <v>0.35416666666667002</v>
      </c>
      <c r="L121" s="5">
        <v>43902</v>
      </c>
      <c r="M121" s="6">
        <v>0.41666666666667002</v>
      </c>
      <c r="N121" s="5">
        <v>43928</v>
      </c>
      <c r="Q121" s="12">
        <f t="shared" si="3"/>
        <v>43902.354166666664</v>
      </c>
      <c r="R121" s="12">
        <f t="shared" si="4"/>
        <v>43902.416666666664</v>
      </c>
      <c r="S121" s="13">
        <f t="shared" si="5"/>
        <v>6.25E-2</v>
      </c>
    </row>
    <row r="122" spans="1:19" hidden="1" x14ac:dyDescent="0.2">
      <c r="A122" t="s">
        <v>348</v>
      </c>
      <c r="B122" t="s">
        <v>349</v>
      </c>
      <c r="C122" t="s">
        <v>3</v>
      </c>
      <c r="F122" s="5">
        <v>43928</v>
      </c>
      <c r="G122" t="s">
        <v>350</v>
      </c>
      <c r="H122" t="s">
        <v>5</v>
      </c>
      <c r="I122" s="5">
        <v>43928</v>
      </c>
      <c r="J122" s="5">
        <v>43901</v>
      </c>
      <c r="K122" s="6">
        <v>0.3125</v>
      </c>
      <c r="L122" s="5">
        <v>43901</v>
      </c>
      <c r="M122" s="6">
        <v>0.35416666666667002</v>
      </c>
      <c r="N122" s="5">
        <v>43928</v>
      </c>
      <c r="Q122" s="12">
        <f t="shared" si="3"/>
        <v>43901.3125</v>
      </c>
      <c r="R122" s="12">
        <f t="shared" si="4"/>
        <v>43901.354166666664</v>
      </c>
      <c r="S122" s="13">
        <f t="shared" si="5"/>
        <v>4.1666666664241347E-2</v>
      </c>
    </row>
    <row r="123" spans="1:19" hidden="1" x14ac:dyDescent="0.2">
      <c r="A123" t="s">
        <v>351</v>
      </c>
      <c r="B123" t="s">
        <v>352</v>
      </c>
      <c r="C123" t="s">
        <v>3</v>
      </c>
      <c r="F123" s="5">
        <v>43937</v>
      </c>
      <c r="G123" t="s">
        <v>353</v>
      </c>
      <c r="H123" t="s">
        <v>5</v>
      </c>
      <c r="I123" s="5">
        <v>43956</v>
      </c>
      <c r="J123" s="5">
        <v>43949</v>
      </c>
      <c r="K123" s="6">
        <v>0.90625</v>
      </c>
      <c r="L123" s="5">
        <v>43951</v>
      </c>
      <c r="M123" s="6">
        <v>0.5</v>
      </c>
      <c r="N123" s="5">
        <v>43937</v>
      </c>
      <c r="Q123" s="12">
        <f t="shared" si="3"/>
        <v>43949.90625</v>
      </c>
      <c r="R123" s="12">
        <f t="shared" si="4"/>
        <v>43951.5</v>
      </c>
      <c r="S123" s="13">
        <f t="shared" si="5"/>
        <v>1.59375</v>
      </c>
    </row>
    <row r="124" spans="1:19" hidden="1" x14ac:dyDescent="0.2">
      <c r="A124" t="s">
        <v>354</v>
      </c>
      <c r="B124" t="s">
        <v>355</v>
      </c>
      <c r="C124" t="s">
        <v>3</v>
      </c>
      <c r="F124" s="5">
        <v>43938</v>
      </c>
      <c r="G124" t="s">
        <v>356</v>
      </c>
      <c r="H124" t="s">
        <v>5</v>
      </c>
      <c r="I124" s="5">
        <v>43956</v>
      </c>
      <c r="J124" s="5">
        <v>43938</v>
      </c>
      <c r="K124" s="6">
        <v>0.82638888888888995</v>
      </c>
      <c r="L124" s="5">
        <v>43938</v>
      </c>
      <c r="M124" s="6">
        <v>0.85416666666666996</v>
      </c>
      <c r="N124" s="5">
        <v>43938</v>
      </c>
      <c r="Q124" s="12">
        <f t="shared" si="3"/>
        <v>43938.826388888891</v>
      </c>
      <c r="R124" s="12">
        <f t="shared" si="4"/>
        <v>43938.854166666664</v>
      </c>
      <c r="S124" s="13">
        <f t="shared" si="5"/>
        <v>2.7777777773735579E-2</v>
      </c>
    </row>
    <row r="125" spans="1:19" hidden="1" x14ac:dyDescent="0.2">
      <c r="A125" t="s">
        <v>357</v>
      </c>
      <c r="B125" t="s">
        <v>358</v>
      </c>
      <c r="C125" t="s">
        <v>3</v>
      </c>
      <c r="D125" s="11" t="s">
        <v>1266</v>
      </c>
      <c r="F125" s="5">
        <v>43956</v>
      </c>
      <c r="G125" t="s">
        <v>39</v>
      </c>
      <c r="H125" t="s">
        <v>5</v>
      </c>
      <c r="I125" s="5">
        <v>43956</v>
      </c>
      <c r="J125" s="5">
        <v>43937</v>
      </c>
      <c r="K125" s="6">
        <v>0.45833333333332998</v>
      </c>
      <c r="L125" s="5">
        <v>43938</v>
      </c>
      <c r="M125" s="6">
        <v>0.5</v>
      </c>
      <c r="N125" s="5">
        <v>43956</v>
      </c>
      <c r="Q125" s="12">
        <f t="shared" si="3"/>
        <v>43937.458333333336</v>
      </c>
      <c r="R125" s="12">
        <f t="shared" si="4"/>
        <v>43938.5</v>
      </c>
      <c r="S125" s="13">
        <f t="shared" si="5"/>
        <v>1.0416666666642413</v>
      </c>
    </row>
    <row r="126" spans="1:19" hidden="1" x14ac:dyDescent="0.2">
      <c r="A126" t="s">
        <v>359</v>
      </c>
      <c r="B126" t="s">
        <v>360</v>
      </c>
      <c r="C126" t="s">
        <v>3</v>
      </c>
      <c r="F126" s="5">
        <v>43956</v>
      </c>
      <c r="G126" t="s">
        <v>361</v>
      </c>
      <c r="H126" t="s">
        <v>5</v>
      </c>
      <c r="I126" s="5">
        <v>43956</v>
      </c>
      <c r="J126" s="5">
        <v>43941</v>
      </c>
      <c r="K126" s="6">
        <v>0.91666666666666996</v>
      </c>
      <c r="L126" s="5">
        <v>43941</v>
      </c>
      <c r="M126" s="6">
        <v>0.93055555555556002</v>
      </c>
      <c r="N126" s="5">
        <v>43956</v>
      </c>
      <c r="Q126" s="12">
        <f t="shared" si="3"/>
        <v>43941.916666666664</v>
      </c>
      <c r="R126" s="12">
        <f t="shared" si="4"/>
        <v>43941.930555555555</v>
      </c>
      <c r="S126" s="13">
        <f t="shared" si="5"/>
        <v>1.3888888890505768E-2</v>
      </c>
    </row>
    <row r="127" spans="1:19" hidden="1" x14ac:dyDescent="0.2">
      <c r="A127" t="s">
        <v>362</v>
      </c>
      <c r="B127" t="s">
        <v>363</v>
      </c>
      <c r="C127" t="s">
        <v>3</v>
      </c>
      <c r="F127" s="5">
        <v>43958</v>
      </c>
      <c r="G127" t="s">
        <v>364</v>
      </c>
      <c r="H127" t="s">
        <v>5</v>
      </c>
      <c r="I127" s="5">
        <v>43958</v>
      </c>
      <c r="J127" s="5">
        <v>43958</v>
      </c>
      <c r="K127" s="6">
        <v>0</v>
      </c>
      <c r="L127" s="5">
        <v>43958</v>
      </c>
      <c r="M127" s="6">
        <v>0</v>
      </c>
      <c r="N127" s="5">
        <v>43958</v>
      </c>
      <c r="Q127" s="12">
        <f t="shared" si="3"/>
        <v>43958</v>
      </c>
      <c r="R127" s="12">
        <f t="shared" si="4"/>
        <v>43958</v>
      </c>
      <c r="S127" s="13">
        <f t="shared" si="5"/>
        <v>0</v>
      </c>
    </row>
    <row r="128" spans="1:19" hidden="1" x14ac:dyDescent="0.2">
      <c r="A128" t="s">
        <v>365</v>
      </c>
      <c r="B128" t="s">
        <v>366</v>
      </c>
      <c r="C128" t="s">
        <v>3</v>
      </c>
      <c r="F128" s="5">
        <v>43966</v>
      </c>
      <c r="G128" t="s">
        <v>367</v>
      </c>
      <c r="H128" t="s">
        <v>5</v>
      </c>
      <c r="I128" s="5">
        <v>43966</v>
      </c>
      <c r="J128" s="5">
        <v>43966</v>
      </c>
      <c r="K128" s="6">
        <v>0</v>
      </c>
      <c r="L128" s="5">
        <v>43966</v>
      </c>
      <c r="M128" s="6">
        <v>0</v>
      </c>
      <c r="N128" s="5">
        <v>43966</v>
      </c>
      <c r="Q128" s="12">
        <f t="shared" si="3"/>
        <v>43966</v>
      </c>
      <c r="R128" s="12">
        <f t="shared" si="4"/>
        <v>43966</v>
      </c>
      <c r="S128" s="13">
        <f t="shared" si="5"/>
        <v>0</v>
      </c>
    </row>
    <row r="129" spans="1:19" hidden="1" x14ac:dyDescent="0.2">
      <c r="A129" t="s">
        <v>368</v>
      </c>
      <c r="B129" t="s">
        <v>369</v>
      </c>
      <c r="C129" t="s">
        <v>3</v>
      </c>
      <c r="F129" s="5">
        <v>43970</v>
      </c>
      <c r="G129" t="s">
        <v>370</v>
      </c>
      <c r="H129" t="s">
        <v>5</v>
      </c>
      <c r="I129" s="5">
        <v>43980</v>
      </c>
      <c r="J129" s="5">
        <v>43970</v>
      </c>
      <c r="K129" s="6">
        <v>0</v>
      </c>
      <c r="L129" s="5">
        <v>43970</v>
      </c>
      <c r="M129" s="6">
        <v>0</v>
      </c>
      <c r="N129" s="5">
        <v>43970</v>
      </c>
      <c r="Q129" s="12">
        <f t="shared" si="3"/>
        <v>43970</v>
      </c>
      <c r="R129" s="12">
        <f t="shared" si="4"/>
        <v>43970</v>
      </c>
      <c r="S129" s="13">
        <f t="shared" si="5"/>
        <v>0</v>
      </c>
    </row>
    <row r="130" spans="1:19" hidden="1" x14ac:dyDescent="0.2">
      <c r="A130" t="s">
        <v>371</v>
      </c>
      <c r="B130" t="s">
        <v>372</v>
      </c>
      <c r="C130" t="s">
        <v>3</v>
      </c>
      <c r="F130" s="5">
        <v>43984</v>
      </c>
      <c r="G130" t="s">
        <v>373</v>
      </c>
      <c r="H130" t="s">
        <v>5</v>
      </c>
      <c r="I130" s="5">
        <v>43985</v>
      </c>
      <c r="J130" s="5">
        <v>43953</v>
      </c>
      <c r="K130" s="6">
        <v>0.58333333333333004</v>
      </c>
      <c r="L130" s="5">
        <v>43953</v>
      </c>
      <c r="M130" s="6">
        <v>0.625</v>
      </c>
      <c r="N130" s="5">
        <v>43986</v>
      </c>
      <c r="Q130" s="12">
        <f t="shared" si="3"/>
        <v>43953.583333333336</v>
      </c>
      <c r="R130" s="12">
        <f t="shared" si="4"/>
        <v>43953.625</v>
      </c>
      <c r="S130" s="13">
        <f t="shared" si="5"/>
        <v>4.1666666664241347E-2</v>
      </c>
    </row>
    <row r="131" spans="1:19" hidden="1" x14ac:dyDescent="0.2">
      <c r="A131" t="s">
        <v>374</v>
      </c>
      <c r="B131" t="s">
        <v>375</v>
      </c>
      <c r="C131" t="s">
        <v>3</v>
      </c>
      <c r="F131" s="5">
        <v>43984</v>
      </c>
      <c r="G131" t="s">
        <v>376</v>
      </c>
      <c r="H131" t="s">
        <v>5</v>
      </c>
      <c r="I131" s="5">
        <v>43985</v>
      </c>
      <c r="J131" s="5">
        <v>43953</v>
      </c>
      <c r="K131" s="6">
        <v>0.39583333333332998</v>
      </c>
      <c r="L131" s="5">
        <v>43953</v>
      </c>
      <c r="M131" s="6">
        <v>0.41666666666667002</v>
      </c>
      <c r="N131" s="5">
        <v>43985</v>
      </c>
      <c r="Q131" s="12">
        <f t="shared" si="3"/>
        <v>43953.395833333336</v>
      </c>
      <c r="R131" s="12">
        <f t="shared" si="4"/>
        <v>43953.416666666664</v>
      </c>
      <c r="S131" s="13">
        <f t="shared" si="5"/>
        <v>2.0833333328482695E-2</v>
      </c>
    </row>
    <row r="132" spans="1:19" hidden="1" x14ac:dyDescent="0.2">
      <c r="A132" t="s">
        <v>377</v>
      </c>
      <c r="B132" t="s">
        <v>378</v>
      </c>
      <c r="C132" t="s">
        <v>3</v>
      </c>
      <c r="F132" s="5">
        <v>43984</v>
      </c>
      <c r="G132" t="s">
        <v>379</v>
      </c>
      <c r="H132" t="s">
        <v>5</v>
      </c>
      <c r="I132" s="5">
        <v>43985</v>
      </c>
      <c r="J132" s="5">
        <v>43957</v>
      </c>
      <c r="K132" s="6">
        <v>0.42361111111110999</v>
      </c>
      <c r="L132" s="5">
        <v>43957</v>
      </c>
      <c r="M132" s="6">
        <v>0.45833333333332998</v>
      </c>
      <c r="N132" s="5">
        <v>43985</v>
      </c>
      <c r="Q132" s="12">
        <f t="shared" ref="Q132:Q195" si="6">J132+K132</f>
        <v>43957.423611111109</v>
      </c>
      <c r="R132" s="12">
        <f t="shared" ref="R132:R195" si="7">L132+M132</f>
        <v>43957.458333333336</v>
      </c>
      <c r="S132" s="13">
        <f t="shared" ref="S132:S195" si="8">R132-Q132</f>
        <v>3.4722222226264421E-2</v>
      </c>
    </row>
    <row r="133" spans="1:19" hidden="1" x14ac:dyDescent="0.2">
      <c r="A133" t="s">
        <v>380</v>
      </c>
      <c r="B133" t="s">
        <v>381</v>
      </c>
      <c r="C133" t="s">
        <v>3</v>
      </c>
      <c r="F133" s="5">
        <v>43984</v>
      </c>
      <c r="G133" t="s">
        <v>382</v>
      </c>
      <c r="H133" t="s">
        <v>5</v>
      </c>
      <c r="I133" s="5">
        <v>43985</v>
      </c>
      <c r="J133" s="5">
        <v>43956</v>
      </c>
      <c r="K133" s="6">
        <v>0.73611111111111005</v>
      </c>
      <c r="L133" s="5">
        <v>43956</v>
      </c>
      <c r="M133" s="6">
        <v>0.75694444444443998</v>
      </c>
      <c r="N133" s="5">
        <v>43985</v>
      </c>
      <c r="Q133" s="12">
        <f t="shared" si="6"/>
        <v>43956.736111111109</v>
      </c>
      <c r="R133" s="12">
        <f t="shared" si="7"/>
        <v>43956.756944444445</v>
      </c>
      <c r="S133" s="13">
        <f t="shared" si="8"/>
        <v>2.0833333335758653E-2</v>
      </c>
    </row>
    <row r="134" spans="1:19" hidden="1" x14ac:dyDescent="0.2">
      <c r="A134" t="s">
        <v>383</v>
      </c>
      <c r="B134" t="s">
        <v>384</v>
      </c>
      <c r="C134" t="s">
        <v>3</v>
      </c>
      <c r="F134" s="5">
        <v>43984</v>
      </c>
      <c r="G134" t="s">
        <v>385</v>
      </c>
      <c r="H134" t="s">
        <v>5</v>
      </c>
      <c r="I134" s="5">
        <v>43985</v>
      </c>
      <c r="J134" s="5">
        <v>43957</v>
      </c>
      <c r="K134" s="6">
        <v>0.43055555555556002</v>
      </c>
      <c r="L134" s="5">
        <v>43957</v>
      </c>
      <c r="M134" s="6">
        <v>0.48263888888889001</v>
      </c>
      <c r="N134" s="5">
        <v>43985</v>
      </c>
      <c r="Q134" s="12">
        <f t="shared" si="6"/>
        <v>43957.430555555555</v>
      </c>
      <c r="R134" s="12">
        <f t="shared" si="7"/>
        <v>43957.482638888891</v>
      </c>
      <c r="S134" s="13">
        <f t="shared" si="8"/>
        <v>5.2083333335758653E-2</v>
      </c>
    </row>
    <row r="135" spans="1:19" hidden="1" x14ac:dyDescent="0.2">
      <c r="A135" t="s">
        <v>386</v>
      </c>
      <c r="B135" t="s">
        <v>387</v>
      </c>
      <c r="C135" t="s">
        <v>3</v>
      </c>
      <c r="F135" s="5">
        <v>43984</v>
      </c>
      <c r="G135" t="s">
        <v>376</v>
      </c>
      <c r="H135" t="s">
        <v>5</v>
      </c>
      <c r="I135" s="5">
        <v>43985</v>
      </c>
      <c r="J135" s="5">
        <v>43956</v>
      </c>
      <c r="K135" s="6">
        <v>0.91666666666666996</v>
      </c>
      <c r="L135" s="5">
        <v>43956</v>
      </c>
      <c r="M135" s="6">
        <v>0.95833333333333004</v>
      </c>
      <c r="N135" s="5">
        <v>43985</v>
      </c>
      <c r="Q135" s="12">
        <f t="shared" si="6"/>
        <v>43956.916666666664</v>
      </c>
      <c r="R135" s="12">
        <f t="shared" si="7"/>
        <v>43956.958333333336</v>
      </c>
      <c r="S135" s="13">
        <f t="shared" si="8"/>
        <v>4.1666666671517305E-2</v>
      </c>
    </row>
    <row r="136" spans="1:19" hidden="1" x14ac:dyDescent="0.2">
      <c r="A136" t="s">
        <v>388</v>
      </c>
      <c r="B136" t="s">
        <v>389</v>
      </c>
      <c r="C136" t="s">
        <v>3</v>
      </c>
      <c r="F136" s="5">
        <v>43984</v>
      </c>
      <c r="G136" t="s">
        <v>390</v>
      </c>
      <c r="H136" t="s">
        <v>5</v>
      </c>
      <c r="I136" s="5">
        <v>43985</v>
      </c>
      <c r="J136" s="5">
        <v>43967</v>
      </c>
      <c r="K136" s="6">
        <v>0.64583333333333004</v>
      </c>
      <c r="L136" s="5">
        <v>43967</v>
      </c>
      <c r="M136" s="6">
        <v>0.72916666666666996</v>
      </c>
      <c r="N136" s="5">
        <v>43985</v>
      </c>
      <c r="Q136" s="12">
        <f t="shared" si="6"/>
        <v>43967.645833333336</v>
      </c>
      <c r="R136" s="12">
        <f t="shared" si="7"/>
        <v>43967.729166666664</v>
      </c>
      <c r="S136" s="13">
        <f t="shared" si="8"/>
        <v>8.3333333328482695E-2</v>
      </c>
    </row>
    <row r="137" spans="1:19" hidden="1" x14ac:dyDescent="0.2">
      <c r="A137" t="s">
        <v>391</v>
      </c>
      <c r="B137" t="s">
        <v>392</v>
      </c>
      <c r="C137" t="s">
        <v>3</v>
      </c>
      <c r="F137" s="5">
        <v>43984</v>
      </c>
      <c r="G137" t="s">
        <v>393</v>
      </c>
      <c r="H137" t="s">
        <v>5</v>
      </c>
      <c r="I137" s="5">
        <v>43985</v>
      </c>
      <c r="J137" s="5">
        <v>43969</v>
      </c>
      <c r="K137" s="6">
        <v>0.33333333333332998</v>
      </c>
      <c r="L137" s="5">
        <v>43969</v>
      </c>
      <c r="M137" s="6">
        <v>0.375</v>
      </c>
      <c r="N137" s="5">
        <v>43985</v>
      </c>
      <c r="Q137" s="12">
        <f t="shared" si="6"/>
        <v>43969.333333333336</v>
      </c>
      <c r="R137" s="12">
        <f t="shared" si="7"/>
        <v>43969.375</v>
      </c>
      <c r="S137" s="13">
        <f t="shared" si="8"/>
        <v>4.1666666664241347E-2</v>
      </c>
    </row>
    <row r="138" spans="1:19" hidden="1" x14ac:dyDescent="0.2">
      <c r="A138" t="s">
        <v>394</v>
      </c>
      <c r="B138" t="s">
        <v>395</v>
      </c>
      <c r="C138" t="s">
        <v>3</v>
      </c>
      <c r="F138" s="5">
        <v>43984</v>
      </c>
      <c r="G138" t="s">
        <v>396</v>
      </c>
      <c r="H138" t="s">
        <v>5</v>
      </c>
      <c r="I138" s="5">
        <v>43985</v>
      </c>
      <c r="J138" s="5">
        <v>43976</v>
      </c>
      <c r="K138" s="6">
        <v>0.375</v>
      </c>
      <c r="L138" s="5">
        <v>43976</v>
      </c>
      <c r="M138" s="6">
        <v>0.41666666666667002</v>
      </c>
      <c r="N138" s="5">
        <v>43985</v>
      </c>
      <c r="Q138" s="12">
        <f t="shared" si="6"/>
        <v>43976.375</v>
      </c>
      <c r="R138" s="12">
        <f t="shared" si="7"/>
        <v>43976.416666666664</v>
      </c>
      <c r="S138" s="13">
        <f t="shared" si="8"/>
        <v>4.1666666664241347E-2</v>
      </c>
    </row>
    <row r="139" spans="1:19" hidden="1" x14ac:dyDescent="0.2">
      <c r="A139" t="s">
        <v>397</v>
      </c>
      <c r="B139" t="s">
        <v>398</v>
      </c>
      <c r="C139" t="s">
        <v>3</v>
      </c>
      <c r="F139" s="5">
        <v>43984</v>
      </c>
      <c r="G139" t="s">
        <v>396</v>
      </c>
      <c r="H139" t="s">
        <v>5</v>
      </c>
      <c r="I139" s="5">
        <v>43985</v>
      </c>
      <c r="J139" s="5">
        <v>43977</v>
      </c>
      <c r="K139" s="6">
        <v>0.54861111111111005</v>
      </c>
      <c r="L139" s="5">
        <v>43977</v>
      </c>
      <c r="M139" s="6">
        <v>0.55555555555556002</v>
      </c>
      <c r="N139" s="5">
        <v>43985</v>
      </c>
      <c r="Q139" s="12">
        <f t="shared" si="6"/>
        <v>43977.548611111109</v>
      </c>
      <c r="R139" s="12">
        <f t="shared" si="7"/>
        <v>43977.555555555555</v>
      </c>
      <c r="S139" s="13">
        <f t="shared" si="8"/>
        <v>6.9444444452528842E-3</v>
      </c>
    </row>
    <row r="140" spans="1:19" hidden="1" x14ac:dyDescent="0.2">
      <c r="A140" t="s">
        <v>399</v>
      </c>
      <c r="B140" t="s">
        <v>400</v>
      </c>
      <c r="C140" t="s">
        <v>3</v>
      </c>
      <c r="F140" s="5">
        <v>43998</v>
      </c>
      <c r="G140" t="s">
        <v>401</v>
      </c>
      <c r="H140" t="s">
        <v>5</v>
      </c>
      <c r="I140" s="5">
        <v>43999</v>
      </c>
      <c r="J140" s="5">
        <v>43984</v>
      </c>
      <c r="K140" s="6">
        <v>0.79861111111111005</v>
      </c>
      <c r="L140" s="5">
        <v>43984</v>
      </c>
      <c r="M140" s="6">
        <v>0.80208333333333004</v>
      </c>
      <c r="N140" s="5">
        <v>43999</v>
      </c>
      <c r="Q140" s="12">
        <f t="shared" si="6"/>
        <v>43984.798611111109</v>
      </c>
      <c r="R140" s="12">
        <f t="shared" si="7"/>
        <v>43984.802083333336</v>
      </c>
      <c r="S140" s="13">
        <f t="shared" si="8"/>
        <v>3.4722222262644209E-3</v>
      </c>
    </row>
    <row r="141" spans="1:19" hidden="1" x14ac:dyDescent="0.2">
      <c r="A141" t="s">
        <v>402</v>
      </c>
      <c r="B141" t="s">
        <v>403</v>
      </c>
      <c r="C141" t="s">
        <v>3</v>
      </c>
      <c r="F141" s="5">
        <v>43998</v>
      </c>
      <c r="G141" t="s">
        <v>404</v>
      </c>
      <c r="H141" t="s">
        <v>5</v>
      </c>
      <c r="I141" s="5">
        <v>43999</v>
      </c>
      <c r="J141" s="5">
        <v>43985</v>
      </c>
      <c r="K141" s="6">
        <v>0.40277777777778001</v>
      </c>
      <c r="L141" s="5">
        <v>43985</v>
      </c>
      <c r="M141" s="6">
        <v>0.5</v>
      </c>
      <c r="N141" s="5">
        <v>43999</v>
      </c>
      <c r="Q141" s="12">
        <f t="shared" si="6"/>
        <v>43985.402777777781</v>
      </c>
      <c r="R141" s="12">
        <f t="shared" si="7"/>
        <v>43985.5</v>
      </c>
      <c r="S141" s="13">
        <f t="shared" si="8"/>
        <v>9.7222222218988463E-2</v>
      </c>
    </row>
    <row r="142" spans="1:19" hidden="1" x14ac:dyDescent="0.2">
      <c r="A142" t="s">
        <v>405</v>
      </c>
      <c r="B142" t="s">
        <v>406</v>
      </c>
      <c r="C142" t="s">
        <v>3</v>
      </c>
      <c r="D142" s="11" t="s">
        <v>1266</v>
      </c>
      <c r="F142" s="5">
        <v>43998</v>
      </c>
      <c r="G142" t="s">
        <v>407</v>
      </c>
      <c r="H142" t="s">
        <v>5</v>
      </c>
      <c r="I142" s="5">
        <v>43999</v>
      </c>
      <c r="J142" s="5">
        <v>43990</v>
      </c>
      <c r="K142" s="6">
        <v>0.15972222222221999</v>
      </c>
      <c r="L142" s="5">
        <v>43990</v>
      </c>
      <c r="M142" s="6">
        <v>0.21527777777778001</v>
      </c>
      <c r="N142" s="5">
        <v>43999</v>
      </c>
      <c r="Q142" s="12">
        <f t="shared" si="6"/>
        <v>43990.159722222219</v>
      </c>
      <c r="R142" s="12">
        <f t="shared" si="7"/>
        <v>43990.215277777781</v>
      </c>
      <c r="S142" s="13">
        <f t="shared" si="8"/>
        <v>5.5555555562023073E-2</v>
      </c>
    </row>
    <row r="143" spans="1:19" hidden="1" x14ac:dyDescent="0.2">
      <c r="A143" t="s">
        <v>408</v>
      </c>
      <c r="B143" t="s">
        <v>409</v>
      </c>
      <c r="C143" t="s">
        <v>3</v>
      </c>
      <c r="F143" s="5">
        <v>43998</v>
      </c>
      <c r="G143" t="s">
        <v>410</v>
      </c>
      <c r="H143" t="s">
        <v>5</v>
      </c>
      <c r="I143" s="5">
        <v>43999</v>
      </c>
      <c r="J143" s="5">
        <v>43990</v>
      </c>
      <c r="K143" s="6">
        <v>0.33333333333332998</v>
      </c>
      <c r="L143" s="5">
        <v>43990</v>
      </c>
      <c r="M143" s="6">
        <v>0.34027777777778001</v>
      </c>
      <c r="N143" s="5">
        <v>43999</v>
      </c>
      <c r="Q143" s="12">
        <f t="shared" si="6"/>
        <v>43990.333333333336</v>
      </c>
      <c r="R143" s="12">
        <f t="shared" si="7"/>
        <v>43990.340277777781</v>
      </c>
      <c r="S143" s="13">
        <f t="shared" si="8"/>
        <v>6.9444444452528842E-3</v>
      </c>
    </row>
    <row r="144" spans="1:19" hidden="1" x14ac:dyDescent="0.2">
      <c r="A144" t="s">
        <v>411</v>
      </c>
      <c r="B144" t="s">
        <v>412</v>
      </c>
      <c r="C144" t="s">
        <v>3</v>
      </c>
      <c r="F144" s="5">
        <v>43998</v>
      </c>
      <c r="G144" t="s">
        <v>413</v>
      </c>
      <c r="H144" t="s">
        <v>5</v>
      </c>
      <c r="I144" s="5">
        <v>43999</v>
      </c>
      <c r="J144" s="5">
        <v>43991</v>
      </c>
      <c r="K144" s="6">
        <v>0.33333333333332998</v>
      </c>
      <c r="L144" s="5">
        <v>43991</v>
      </c>
      <c r="M144" s="6">
        <v>0.41666666666667002</v>
      </c>
      <c r="N144" s="5">
        <v>43999</v>
      </c>
      <c r="Q144" s="12">
        <f t="shared" si="6"/>
        <v>43991.333333333336</v>
      </c>
      <c r="R144" s="12">
        <f t="shared" si="7"/>
        <v>43991.416666666664</v>
      </c>
      <c r="S144" s="13">
        <f t="shared" si="8"/>
        <v>8.3333333328482695E-2</v>
      </c>
    </row>
    <row r="145" spans="1:19" x14ac:dyDescent="0.2">
      <c r="A145" t="s">
        <v>414</v>
      </c>
      <c r="B145" t="s">
        <v>415</v>
      </c>
      <c r="C145" t="s">
        <v>3</v>
      </c>
      <c r="E145" s="11" t="s">
        <v>1268</v>
      </c>
      <c r="F145" s="5">
        <v>43998</v>
      </c>
      <c r="G145" t="s">
        <v>416</v>
      </c>
      <c r="H145" t="s">
        <v>5</v>
      </c>
      <c r="I145" s="5">
        <v>43999</v>
      </c>
      <c r="J145" s="5">
        <v>43991</v>
      </c>
      <c r="K145" s="6">
        <v>0.32291666666667002</v>
      </c>
      <c r="L145" s="5">
        <v>43991</v>
      </c>
      <c r="M145" s="6">
        <v>0.32638888888889001</v>
      </c>
      <c r="N145" s="5">
        <v>43999</v>
      </c>
      <c r="Q145" s="12">
        <f t="shared" si="6"/>
        <v>43991.322916666664</v>
      </c>
      <c r="R145" s="12">
        <f t="shared" si="7"/>
        <v>43991.326388888891</v>
      </c>
      <c r="S145" s="13">
        <f t="shared" si="8"/>
        <v>3.4722222262644209E-3</v>
      </c>
    </row>
    <row r="146" spans="1:19" x14ac:dyDescent="0.2">
      <c r="A146" t="s">
        <v>417</v>
      </c>
      <c r="B146" t="s">
        <v>418</v>
      </c>
      <c r="C146" t="s">
        <v>3</v>
      </c>
      <c r="E146" s="11" t="s">
        <v>1268</v>
      </c>
      <c r="F146" s="5">
        <v>43998</v>
      </c>
      <c r="G146" t="s">
        <v>416</v>
      </c>
      <c r="H146" t="s">
        <v>5</v>
      </c>
      <c r="I146" s="5">
        <v>43999</v>
      </c>
      <c r="J146" s="5">
        <v>43992</v>
      </c>
      <c r="K146" s="6">
        <v>0.45833333333332998</v>
      </c>
      <c r="L146" s="5">
        <v>43992</v>
      </c>
      <c r="M146" s="6">
        <v>0.46527777777778001</v>
      </c>
      <c r="N146" s="5">
        <v>43999</v>
      </c>
      <c r="Q146" s="12">
        <f t="shared" si="6"/>
        <v>43992.458333333336</v>
      </c>
      <c r="R146" s="12">
        <f t="shared" si="7"/>
        <v>43992.465277777781</v>
      </c>
      <c r="S146" s="13">
        <f t="shared" si="8"/>
        <v>6.9444444452528842E-3</v>
      </c>
    </row>
    <row r="147" spans="1:19" x14ac:dyDescent="0.2">
      <c r="A147" t="s">
        <v>419</v>
      </c>
      <c r="B147" t="s">
        <v>420</v>
      </c>
      <c r="C147" t="s">
        <v>3</v>
      </c>
      <c r="E147" s="11" t="s">
        <v>1268</v>
      </c>
      <c r="F147" s="5">
        <v>43998</v>
      </c>
      <c r="G147" t="s">
        <v>416</v>
      </c>
      <c r="H147" t="s">
        <v>5</v>
      </c>
      <c r="I147" s="5">
        <v>43999</v>
      </c>
      <c r="J147" s="5">
        <v>43993</v>
      </c>
      <c r="K147" s="6">
        <v>0.58333333333333004</v>
      </c>
      <c r="L147" s="5">
        <v>43993</v>
      </c>
      <c r="M147" s="6">
        <v>0.58680555555556002</v>
      </c>
      <c r="N147" s="5">
        <v>43999</v>
      </c>
      <c r="Q147" s="12">
        <f t="shared" si="6"/>
        <v>43993.583333333336</v>
      </c>
      <c r="R147" s="12">
        <f t="shared" si="7"/>
        <v>43993.586805555555</v>
      </c>
      <c r="S147" s="13">
        <f t="shared" si="8"/>
        <v>3.4722222189884633E-3</v>
      </c>
    </row>
    <row r="148" spans="1:19" hidden="1" x14ac:dyDescent="0.2">
      <c r="A148" t="s">
        <v>421</v>
      </c>
      <c r="B148" t="s">
        <v>422</v>
      </c>
      <c r="C148" t="s">
        <v>3</v>
      </c>
      <c r="F148" s="5">
        <v>44020</v>
      </c>
      <c r="G148" t="s">
        <v>423</v>
      </c>
      <c r="H148" t="s">
        <v>5</v>
      </c>
      <c r="I148" s="5">
        <v>44019</v>
      </c>
      <c r="J148" s="5">
        <v>43983</v>
      </c>
      <c r="K148" s="6">
        <v>0.38194444444443998</v>
      </c>
      <c r="L148" s="5">
        <v>44012</v>
      </c>
      <c r="M148" s="6">
        <v>0.47497685185185001</v>
      </c>
      <c r="N148" s="5">
        <v>44020</v>
      </c>
      <c r="Q148" s="12">
        <f t="shared" si="6"/>
        <v>43983.381944444445</v>
      </c>
      <c r="R148" s="12">
        <f t="shared" si="7"/>
        <v>44012.474976851852</v>
      </c>
      <c r="S148" s="13">
        <f t="shared" si="8"/>
        <v>29.093032407407009</v>
      </c>
    </row>
    <row r="149" spans="1:19" hidden="1" x14ac:dyDescent="0.2">
      <c r="A149" t="s">
        <v>424</v>
      </c>
      <c r="B149" t="s">
        <v>425</v>
      </c>
      <c r="C149" t="s">
        <v>3</v>
      </c>
      <c r="F149" s="5">
        <v>44020</v>
      </c>
      <c r="G149" t="s">
        <v>426</v>
      </c>
      <c r="H149" t="s">
        <v>5</v>
      </c>
      <c r="I149" s="5">
        <v>44019</v>
      </c>
      <c r="J149" s="5">
        <v>43983</v>
      </c>
      <c r="K149" s="6">
        <v>0.54166666666666996</v>
      </c>
      <c r="L149" s="5">
        <v>44012</v>
      </c>
      <c r="M149" s="6">
        <v>0.47505787037037001</v>
      </c>
      <c r="N149" s="5">
        <v>44020</v>
      </c>
      <c r="Q149" s="12">
        <f t="shared" si="6"/>
        <v>43983.541666666664</v>
      </c>
      <c r="R149" s="12">
        <f t="shared" si="7"/>
        <v>44012.475057870368</v>
      </c>
      <c r="S149" s="13">
        <f t="shared" si="8"/>
        <v>28.93339120370365</v>
      </c>
    </row>
    <row r="150" spans="1:19" hidden="1" x14ac:dyDescent="0.2">
      <c r="A150" t="s">
        <v>427</v>
      </c>
      <c r="B150" t="s">
        <v>428</v>
      </c>
      <c r="C150" t="s">
        <v>3</v>
      </c>
      <c r="F150" s="5">
        <v>44020</v>
      </c>
      <c r="G150" t="s">
        <v>429</v>
      </c>
      <c r="H150" t="s">
        <v>5</v>
      </c>
      <c r="I150" s="5">
        <v>44019</v>
      </c>
      <c r="J150" s="5">
        <v>43983</v>
      </c>
      <c r="K150" s="7">
        <v>1</v>
      </c>
      <c r="L150" s="5">
        <v>44012</v>
      </c>
      <c r="M150" s="6">
        <v>0.47012731481481002</v>
      </c>
      <c r="N150" s="5">
        <v>44021</v>
      </c>
      <c r="Q150" s="12">
        <f t="shared" si="6"/>
        <v>43984</v>
      </c>
      <c r="R150" s="12">
        <f t="shared" si="7"/>
        <v>44012.470127314817</v>
      </c>
      <c r="S150" s="13">
        <f t="shared" si="8"/>
        <v>28.470127314816636</v>
      </c>
    </row>
    <row r="151" spans="1:19" hidden="1" x14ac:dyDescent="0.2">
      <c r="A151" t="s">
        <v>430</v>
      </c>
      <c r="B151" t="s">
        <v>431</v>
      </c>
      <c r="C151" t="s">
        <v>3</v>
      </c>
      <c r="F151" s="5">
        <v>44020</v>
      </c>
      <c r="G151" t="s">
        <v>432</v>
      </c>
      <c r="H151" t="s">
        <v>5</v>
      </c>
      <c r="I151" s="5">
        <v>44019</v>
      </c>
      <c r="J151" s="5">
        <v>43994</v>
      </c>
      <c r="K151" s="6">
        <v>0.47222222222221999</v>
      </c>
      <c r="L151" s="5">
        <v>43994</v>
      </c>
      <c r="M151" s="6">
        <v>0.47569444444443998</v>
      </c>
      <c r="N151" s="5">
        <v>44020</v>
      </c>
      <c r="Q151" s="12">
        <f t="shared" si="6"/>
        <v>43994.472222222219</v>
      </c>
      <c r="R151" s="12">
        <f t="shared" si="7"/>
        <v>43994.475694444445</v>
      </c>
      <c r="S151" s="13">
        <f t="shared" si="8"/>
        <v>3.4722222262644209E-3</v>
      </c>
    </row>
    <row r="152" spans="1:19" hidden="1" x14ac:dyDescent="0.2">
      <c r="A152" t="s">
        <v>433</v>
      </c>
      <c r="B152" t="s">
        <v>434</v>
      </c>
      <c r="C152" t="s">
        <v>3</v>
      </c>
      <c r="F152" s="5">
        <v>44020</v>
      </c>
      <c r="G152" t="s">
        <v>435</v>
      </c>
      <c r="H152" t="s">
        <v>5</v>
      </c>
      <c r="I152" s="5">
        <v>44019</v>
      </c>
      <c r="J152" s="5">
        <v>43983</v>
      </c>
      <c r="K152" s="7">
        <v>1</v>
      </c>
      <c r="L152" s="5">
        <v>44012</v>
      </c>
      <c r="M152" s="6">
        <v>0.46356481481480999</v>
      </c>
      <c r="N152" s="5">
        <v>44021</v>
      </c>
      <c r="Q152" s="12">
        <f t="shared" si="6"/>
        <v>43984</v>
      </c>
      <c r="R152" s="12">
        <f t="shared" si="7"/>
        <v>44012.463564814818</v>
      </c>
      <c r="S152" s="13">
        <f t="shared" si="8"/>
        <v>28.463564814817801</v>
      </c>
    </row>
    <row r="153" spans="1:19" hidden="1" x14ac:dyDescent="0.2">
      <c r="A153" t="s">
        <v>436</v>
      </c>
      <c r="B153" t="s">
        <v>437</v>
      </c>
      <c r="C153" t="s">
        <v>3</v>
      </c>
      <c r="F153" s="5">
        <v>44020</v>
      </c>
      <c r="G153" t="s">
        <v>438</v>
      </c>
      <c r="H153" t="s">
        <v>5</v>
      </c>
      <c r="I153" s="5">
        <v>44019</v>
      </c>
      <c r="J153" s="5">
        <v>43988</v>
      </c>
      <c r="K153" s="6">
        <v>0.14583333333333001</v>
      </c>
      <c r="L153" s="5">
        <v>43988</v>
      </c>
      <c r="M153" s="6">
        <v>0.16666666666666999</v>
      </c>
      <c r="N153" s="5">
        <v>44021</v>
      </c>
      <c r="Q153" s="12">
        <f t="shared" si="6"/>
        <v>43988.145833333336</v>
      </c>
      <c r="R153" s="12">
        <f t="shared" si="7"/>
        <v>43988.166666666664</v>
      </c>
      <c r="S153" s="13">
        <f t="shared" si="8"/>
        <v>2.0833333328482695E-2</v>
      </c>
    </row>
    <row r="154" spans="1:19" hidden="1" x14ac:dyDescent="0.2">
      <c r="A154" t="s">
        <v>439</v>
      </c>
      <c r="B154" t="s">
        <v>440</v>
      </c>
      <c r="C154" t="s">
        <v>3</v>
      </c>
      <c r="F154" s="5">
        <v>44020</v>
      </c>
      <c r="G154" t="s">
        <v>441</v>
      </c>
      <c r="H154" t="s">
        <v>5</v>
      </c>
      <c r="I154" s="5">
        <v>44019</v>
      </c>
      <c r="J154" s="5">
        <v>43988</v>
      </c>
      <c r="K154" s="6">
        <v>6.9444444444399997E-3</v>
      </c>
      <c r="L154" s="5">
        <v>43988</v>
      </c>
      <c r="M154" s="6">
        <v>6.25E-2</v>
      </c>
      <c r="N154" s="5">
        <v>44021</v>
      </c>
      <c r="Q154" s="12">
        <f t="shared" si="6"/>
        <v>43988.006944444445</v>
      </c>
      <c r="R154" s="12">
        <f t="shared" si="7"/>
        <v>43988.0625</v>
      </c>
      <c r="S154" s="13">
        <f t="shared" si="8"/>
        <v>5.5555555554747116E-2</v>
      </c>
    </row>
    <row r="155" spans="1:19" hidden="1" x14ac:dyDescent="0.2">
      <c r="A155" t="s">
        <v>442</v>
      </c>
      <c r="B155" t="s">
        <v>443</v>
      </c>
      <c r="C155" t="s">
        <v>3</v>
      </c>
      <c r="F155" s="5">
        <v>44020</v>
      </c>
      <c r="G155" t="s">
        <v>444</v>
      </c>
      <c r="H155" t="s">
        <v>5</v>
      </c>
      <c r="I155" s="5">
        <v>44019</v>
      </c>
      <c r="J155" s="5">
        <v>43983</v>
      </c>
      <c r="K155" s="7">
        <v>1</v>
      </c>
      <c r="L155" s="5">
        <v>44012</v>
      </c>
      <c r="M155" s="6">
        <v>0.47025462962962999</v>
      </c>
      <c r="N155" s="5">
        <v>44021</v>
      </c>
      <c r="Q155" s="12">
        <f t="shared" si="6"/>
        <v>43984</v>
      </c>
      <c r="R155" s="12">
        <f t="shared" si="7"/>
        <v>44012.470254629632</v>
      </c>
      <c r="S155" s="13">
        <f t="shared" si="8"/>
        <v>28.470254629632109</v>
      </c>
    </row>
    <row r="156" spans="1:19" hidden="1" x14ac:dyDescent="0.2">
      <c r="F156" s="5"/>
      <c r="I156" s="5"/>
      <c r="J156" s="5"/>
      <c r="K156" s="6"/>
      <c r="L156" s="5"/>
      <c r="M156" s="6"/>
      <c r="N156" s="5"/>
      <c r="Q156" s="12"/>
      <c r="R156" s="12"/>
      <c r="S156" s="13"/>
    </row>
    <row r="157" spans="1:19" hidden="1" x14ac:dyDescent="0.2">
      <c r="A157" t="s">
        <v>445</v>
      </c>
      <c r="B157" t="s">
        <v>446</v>
      </c>
      <c r="C157" t="s">
        <v>447</v>
      </c>
      <c r="F157" s="5">
        <v>44033</v>
      </c>
      <c r="G157" t="s">
        <v>448</v>
      </c>
      <c r="H157" t="s">
        <v>5</v>
      </c>
      <c r="I157" s="5">
        <v>44032</v>
      </c>
      <c r="J157" s="5">
        <v>44032</v>
      </c>
      <c r="K157" s="6">
        <v>0.57291666666666996</v>
      </c>
      <c r="L157" s="5">
        <v>44032</v>
      </c>
      <c r="M157" s="6">
        <v>0.57986111111111005</v>
      </c>
      <c r="N157" s="5">
        <v>44033</v>
      </c>
      <c r="Q157" s="12">
        <f t="shared" si="6"/>
        <v>44032.572916666664</v>
      </c>
      <c r="R157" s="12">
        <f t="shared" si="7"/>
        <v>44032.579861111109</v>
      </c>
      <c r="S157" s="13">
        <f t="shared" si="8"/>
        <v>6.9444444452528842E-3</v>
      </c>
    </row>
    <row r="158" spans="1:19" x14ac:dyDescent="0.2">
      <c r="A158" t="s">
        <v>449</v>
      </c>
      <c r="B158" t="s">
        <v>450</v>
      </c>
      <c r="C158" t="s">
        <v>3</v>
      </c>
      <c r="E158" s="11" t="s">
        <v>1268</v>
      </c>
      <c r="F158" s="5">
        <v>44041</v>
      </c>
      <c r="G158" t="s">
        <v>451</v>
      </c>
      <c r="H158" t="s">
        <v>5</v>
      </c>
      <c r="I158" s="5">
        <v>44037</v>
      </c>
      <c r="J158" s="5">
        <v>44037</v>
      </c>
      <c r="K158" s="6">
        <v>0.50694444444443998</v>
      </c>
      <c r="L158" s="5">
        <v>44037</v>
      </c>
      <c r="M158" s="6">
        <v>0.51388888888888995</v>
      </c>
      <c r="N158" s="5">
        <v>44041</v>
      </c>
      <c r="Q158" s="12">
        <f t="shared" si="6"/>
        <v>44037.506944444445</v>
      </c>
      <c r="R158" s="12">
        <f t="shared" si="7"/>
        <v>44037.513888888891</v>
      </c>
      <c r="S158" s="13">
        <f t="shared" si="8"/>
        <v>6.9444444452528842E-3</v>
      </c>
    </row>
    <row r="159" spans="1:19" hidden="1" x14ac:dyDescent="0.2">
      <c r="A159" t="s">
        <v>452</v>
      </c>
      <c r="B159" t="s">
        <v>453</v>
      </c>
      <c r="C159" t="s">
        <v>3</v>
      </c>
      <c r="F159" s="5">
        <v>44041</v>
      </c>
      <c r="G159" t="s">
        <v>454</v>
      </c>
      <c r="H159" t="s">
        <v>5</v>
      </c>
      <c r="I159" s="5">
        <v>44038</v>
      </c>
      <c r="J159" s="5">
        <v>44038</v>
      </c>
      <c r="K159" s="6">
        <v>0.45833333333332998</v>
      </c>
      <c r="L159" s="5">
        <v>44038</v>
      </c>
      <c r="M159" s="6">
        <v>0.47916666666667002</v>
      </c>
      <c r="N159" s="5">
        <v>44041</v>
      </c>
      <c r="Q159" s="12">
        <f t="shared" si="6"/>
        <v>44038.458333333336</v>
      </c>
      <c r="R159" s="12">
        <f t="shared" si="7"/>
        <v>44038.479166666664</v>
      </c>
      <c r="S159" s="13">
        <f t="shared" si="8"/>
        <v>2.0833333328482695E-2</v>
      </c>
    </row>
    <row r="160" spans="1:19" x14ac:dyDescent="0.2">
      <c r="A160" t="s">
        <v>455</v>
      </c>
      <c r="B160" t="s">
        <v>456</v>
      </c>
      <c r="C160" t="s">
        <v>3</v>
      </c>
      <c r="E160" s="11" t="s">
        <v>1268</v>
      </c>
      <c r="F160" s="5">
        <v>44043</v>
      </c>
      <c r="G160" t="s">
        <v>457</v>
      </c>
      <c r="H160" t="s">
        <v>5</v>
      </c>
      <c r="I160" s="5">
        <v>44041</v>
      </c>
      <c r="J160" s="5">
        <v>44041</v>
      </c>
      <c r="K160" s="6">
        <v>0.92361111111111005</v>
      </c>
      <c r="L160" s="5">
        <v>44041</v>
      </c>
      <c r="M160" s="6">
        <v>0.93055555555556002</v>
      </c>
      <c r="N160" s="5">
        <v>44043</v>
      </c>
      <c r="Q160" s="12">
        <f t="shared" si="6"/>
        <v>44041.923611111109</v>
      </c>
      <c r="R160" s="12">
        <f t="shared" si="7"/>
        <v>44041.930555555555</v>
      </c>
      <c r="S160" s="13">
        <f t="shared" si="8"/>
        <v>6.9444444452528842E-3</v>
      </c>
    </row>
    <row r="161" spans="1:19" hidden="1" x14ac:dyDescent="0.2">
      <c r="A161" t="s">
        <v>458</v>
      </c>
      <c r="B161" t="s">
        <v>459</v>
      </c>
      <c r="C161" t="s">
        <v>3</v>
      </c>
      <c r="F161" s="5">
        <v>44043</v>
      </c>
      <c r="G161" t="s">
        <v>460</v>
      </c>
      <c r="H161" t="s">
        <v>5</v>
      </c>
      <c r="I161" s="5">
        <v>44039</v>
      </c>
      <c r="J161" s="5">
        <v>44039</v>
      </c>
      <c r="K161" s="6">
        <v>0.14583333333333001</v>
      </c>
      <c r="L161" s="5">
        <v>44039</v>
      </c>
      <c r="M161" s="6">
        <v>0.1875</v>
      </c>
      <c r="N161" s="5">
        <v>44043</v>
      </c>
      <c r="Q161" s="12">
        <f t="shared" si="6"/>
        <v>44039.145833333336</v>
      </c>
      <c r="R161" s="12">
        <f t="shared" si="7"/>
        <v>44039.1875</v>
      </c>
      <c r="S161" s="13">
        <f t="shared" si="8"/>
        <v>4.1666666664241347E-2</v>
      </c>
    </row>
    <row r="162" spans="1:19" hidden="1" x14ac:dyDescent="0.2">
      <c r="A162" t="s">
        <v>461</v>
      </c>
      <c r="B162" t="s">
        <v>462</v>
      </c>
      <c r="C162" t="s">
        <v>3</v>
      </c>
      <c r="D162" s="11" t="s">
        <v>1268</v>
      </c>
      <c r="F162" s="5">
        <v>44050</v>
      </c>
      <c r="G162" t="s">
        <v>463</v>
      </c>
      <c r="H162" t="s">
        <v>5</v>
      </c>
      <c r="I162" s="5">
        <v>44049</v>
      </c>
      <c r="J162" s="5">
        <v>44049</v>
      </c>
      <c r="K162" s="6">
        <v>0.64583333333333004</v>
      </c>
      <c r="L162" s="5">
        <v>44049</v>
      </c>
      <c r="M162" s="6">
        <v>0.65277777777778001</v>
      </c>
      <c r="N162" s="5">
        <v>44050</v>
      </c>
      <c r="Q162" s="12">
        <f t="shared" si="6"/>
        <v>44049.645833333336</v>
      </c>
      <c r="R162" s="12">
        <f t="shared" si="7"/>
        <v>44049.652777777781</v>
      </c>
      <c r="S162" s="13">
        <f t="shared" si="8"/>
        <v>6.9444444452528842E-3</v>
      </c>
    </row>
    <row r="163" spans="1:19" hidden="1" x14ac:dyDescent="0.2">
      <c r="A163" t="s">
        <v>464</v>
      </c>
      <c r="B163" t="s">
        <v>465</v>
      </c>
      <c r="C163" t="s">
        <v>3</v>
      </c>
      <c r="F163" s="5">
        <v>44051</v>
      </c>
      <c r="G163" t="s">
        <v>466</v>
      </c>
      <c r="H163" t="s">
        <v>5</v>
      </c>
      <c r="I163" s="5">
        <v>44050</v>
      </c>
      <c r="J163" s="5">
        <v>44050</v>
      </c>
      <c r="K163" s="6">
        <v>0.65277777777778001</v>
      </c>
      <c r="L163" s="5">
        <v>44050</v>
      </c>
      <c r="M163" s="6">
        <v>0.65972222222221999</v>
      </c>
      <c r="N163" s="5">
        <v>44051</v>
      </c>
      <c r="Q163" s="12">
        <f t="shared" si="6"/>
        <v>44050.652777777781</v>
      </c>
      <c r="R163" s="12">
        <f t="shared" si="7"/>
        <v>44050.659722222219</v>
      </c>
      <c r="S163" s="13">
        <f t="shared" si="8"/>
        <v>6.9444444379769266E-3</v>
      </c>
    </row>
    <row r="164" spans="1:19" hidden="1" x14ac:dyDescent="0.2">
      <c r="A164" t="s">
        <v>467</v>
      </c>
      <c r="B164" t="s">
        <v>468</v>
      </c>
      <c r="C164" t="s">
        <v>3</v>
      </c>
      <c r="F164" s="5">
        <v>44055</v>
      </c>
      <c r="G164" t="s">
        <v>469</v>
      </c>
      <c r="H164" t="s">
        <v>15</v>
      </c>
      <c r="I164" s="5">
        <v>44054</v>
      </c>
      <c r="J164" s="5">
        <v>44054</v>
      </c>
      <c r="K164" s="6">
        <v>0.52083333333333004</v>
      </c>
      <c r="L164" s="5">
        <v>44054</v>
      </c>
      <c r="M164" s="6">
        <v>0.5625</v>
      </c>
      <c r="N164" s="5">
        <v>44055</v>
      </c>
      <c r="Q164" s="12">
        <f t="shared" si="6"/>
        <v>44054.520833333336</v>
      </c>
      <c r="R164" s="12">
        <f t="shared" si="7"/>
        <v>44054.5625</v>
      </c>
      <c r="S164" s="13">
        <f t="shared" si="8"/>
        <v>4.1666666664241347E-2</v>
      </c>
    </row>
    <row r="165" spans="1:19" hidden="1" x14ac:dyDescent="0.2">
      <c r="A165" t="s">
        <v>470</v>
      </c>
      <c r="B165" t="s">
        <v>471</v>
      </c>
      <c r="C165" t="s">
        <v>3</v>
      </c>
      <c r="D165" s="11" t="s">
        <v>1268</v>
      </c>
      <c r="F165" s="5">
        <v>44061</v>
      </c>
      <c r="G165" t="s">
        <v>39</v>
      </c>
      <c r="H165" t="s">
        <v>5</v>
      </c>
      <c r="I165" s="5">
        <v>44060</v>
      </c>
      <c r="J165" s="5">
        <v>44060</v>
      </c>
      <c r="K165" s="6">
        <v>0.4375</v>
      </c>
      <c r="L165" s="5">
        <v>44060</v>
      </c>
      <c r="M165" s="6">
        <v>0.47916666666667002</v>
      </c>
      <c r="N165" s="5">
        <v>44061</v>
      </c>
      <c r="Q165" s="12">
        <f t="shared" si="6"/>
        <v>44060.4375</v>
      </c>
      <c r="R165" s="12">
        <f t="shared" si="7"/>
        <v>44060.479166666664</v>
      </c>
      <c r="S165" s="13">
        <f t="shared" si="8"/>
        <v>4.1666666664241347E-2</v>
      </c>
    </row>
    <row r="166" spans="1:19" hidden="1" x14ac:dyDescent="0.2">
      <c r="A166" t="s">
        <v>472</v>
      </c>
      <c r="B166" t="s">
        <v>473</v>
      </c>
      <c r="C166" t="s">
        <v>3</v>
      </c>
      <c r="F166" s="5">
        <v>44065</v>
      </c>
      <c r="G166" t="s">
        <v>474</v>
      </c>
      <c r="H166" t="s">
        <v>5</v>
      </c>
      <c r="I166" s="5">
        <v>44064</v>
      </c>
      <c r="J166" s="5">
        <v>44053</v>
      </c>
      <c r="K166" s="6">
        <v>0.45833333333332998</v>
      </c>
      <c r="L166" s="5">
        <v>44053</v>
      </c>
      <c r="M166" s="6">
        <v>0.47222222222221999</v>
      </c>
      <c r="N166" s="5">
        <v>44065</v>
      </c>
      <c r="Q166" s="12">
        <f t="shared" si="6"/>
        <v>44053.458333333336</v>
      </c>
      <c r="R166" s="12">
        <f t="shared" si="7"/>
        <v>44053.472222222219</v>
      </c>
      <c r="S166" s="13">
        <f t="shared" si="8"/>
        <v>1.3888888883229811E-2</v>
      </c>
    </row>
    <row r="167" spans="1:19" hidden="1" x14ac:dyDescent="0.2">
      <c r="A167" t="s">
        <v>475</v>
      </c>
      <c r="B167" t="s">
        <v>476</v>
      </c>
      <c r="C167" t="s">
        <v>3</v>
      </c>
      <c r="D167" s="11" t="s">
        <v>1268</v>
      </c>
      <c r="F167" s="5">
        <v>44067</v>
      </c>
      <c r="G167" t="s">
        <v>39</v>
      </c>
      <c r="H167" t="s">
        <v>5</v>
      </c>
      <c r="I167" s="5">
        <v>44064</v>
      </c>
      <c r="J167" s="5">
        <v>44064</v>
      </c>
      <c r="K167" s="6">
        <v>0.59722222222221999</v>
      </c>
      <c r="L167" s="5">
        <v>44064</v>
      </c>
      <c r="M167" s="6">
        <v>0.61805555555556002</v>
      </c>
      <c r="N167" s="5">
        <v>44067</v>
      </c>
      <c r="Q167" s="12">
        <f t="shared" si="6"/>
        <v>44064.597222222219</v>
      </c>
      <c r="R167" s="12">
        <f t="shared" si="7"/>
        <v>44064.618055555555</v>
      </c>
      <c r="S167" s="13">
        <f t="shared" si="8"/>
        <v>2.0833333335758653E-2</v>
      </c>
    </row>
    <row r="168" spans="1:19" hidden="1" x14ac:dyDescent="0.2">
      <c r="A168" t="s">
        <v>477</v>
      </c>
      <c r="B168" t="s">
        <v>478</v>
      </c>
      <c r="C168" t="s">
        <v>3</v>
      </c>
      <c r="F168" s="5">
        <v>44071</v>
      </c>
      <c r="G168" t="s">
        <v>479</v>
      </c>
      <c r="H168" t="s">
        <v>5</v>
      </c>
      <c r="I168" s="5">
        <v>44069</v>
      </c>
      <c r="J168" s="5">
        <v>44068</v>
      </c>
      <c r="K168" s="6">
        <v>0.125</v>
      </c>
      <c r="L168" s="5">
        <v>44068</v>
      </c>
      <c r="M168" s="6">
        <v>0.13541666666666999</v>
      </c>
      <c r="N168" s="5">
        <v>44071</v>
      </c>
      <c r="Q168" s="12">
        <f t="shared" si="6"/>
        <v>44068.125</v>
      </c>
      <c r="R168" s="12">
        <f t="shared" si="7"/>
        <v>44068.135416666664</v>
      </c>
      <c r="S168" s="13">
        <f t="shared" si="8"/>
        <v>1.0416666664241347E-2</v>
      </c>
    </row>
    <row r="169" spans="1:19" hidden="1" x14ac:dyDescent="0.2">
      <c r="A169" t="s">
        <v>480</v>
      </c>
      <c r="B169" t="s">
        <v>481</v>
      </c>
      <c r="C169" t="s">
        <v>3</v>
      </c>
      <c r="F169" s="5">
        <v>44075</v>
      </c>
      <c r="G169" t="s">
        <v>356</v>
      </c>
      <c r="H169" t="s">
        <v>5</v>
      </c>
      <c r="I169" s="5">
        <v>44074</v>
      </c>
      <c r="J169" s="5">
        <v>44062</v>
      </c>
      <c r="K169" s="6">
        <v>0.875</v>
      </c>
      <c r="L169" s="5">
        <v>44062</v>
      </c>
      <c r="M169" s="6">
        <v>0.88888888888888995</v>
      </c>
      <c r="N169" s="5">
        <v>44075</v>
      </c>
      <c r="Q169" s="12">
        <f t="shared" si="6"/>
        <v>44062.875</v>
      </c>
      <c r="R169" s="12">
        <f t="shared" si="7"/>
        <v>44062.888888888891</v>
      </c>
      <c r="S169" s="13">
        <f t="shared" si="8"/>
        <v>1.3888888890505768E-2</v>
      </c>
    </row>
    <row r="170" spans="1:19" x14ac:dyDescent="0.2">
      <c r="A170" t="s">
        <v>482</v>
      </c>
      <c r="B170" t="s">
        <v>483</v>
      </c>
      <c r="C170" t="s">
        <v>3</v>
      </c>
      <c r="E170" s="11" t="s">
        <v>1268</v>
      </c>
      <c r="F170" s="5">
        <v>44076</v>
      </c>
      <c r="G170" t="s">
        <v>484</v>
      </c>
      <c r="H170" t="s">
        <v>5</v>
      </c>
      <c r="I170" s="5">
        <v>44075</v>
      </c>
      <c r="J170" s="5">
        <v>44064</v>
      </c>
      <c r="K170" s="6">
        <v>6.25E-2</v>
      </c>
      <c r="L170" s="5">
        <v>44064</v>
      </c>
      <c r="M170" s="6">
        <v>6.9444444444440007E-2</v>
      </c>
      <c r="N170" s="5">
        <v>44076</v>
      </c>
      <c r="Q170" s="12">
        <f t="shared" si="6"/>
        <v>44064.0625</v>
      </c>
      <c r="R170" s="12">
        <f t="shared" si="7"/>
        <v>44064.069444444445</v>
      </c>
      <c r="S170" s="13">
        <f t="shared" si="8"/>
        <v>6.9444444452528842E-3</v>
      </c>
    </row>
    <row r="171" spans="1:19" hidden="1" x14ac:dyDescent="0.2">
      <c r="A171" t="s">
        <v>485</v>
      </c>
      <c r="B171" t="s">
        <v>486</v>
      </c>
      <c r="C171" t="s">
        <v>3</v>
      </c>
      <c r="F171" s="5">
        <v>44076</v>
      </c>
      <c r="G171" t="s">
        <v>487</v>
      </c>
      <c r="H171" t="s">
        <v>5</v>
      </c>
      <c r="I171" s="5">
        <v>44075</v>
      </c>
      <c r="J171" s="5">
        <v>44066</v>
      </c>
      <c r="K171" s="6">
        <v>0</v>
      </c>
      <c r="L171" s="5">
        <v>44066</v>
      </c>
      <c r="M171" s="6">
        <v>2.0833333333330002E-2</v>
      </c>
      <c r="N171" s="5">
        <v>44076</v>
      </c>
      <c r="Q171" s="12">
        <f t="shared" si="6"/>
        <v>44066</v>
      </c>
      <c r="R171" s="12">
        <f t="shared" si="7"/>
        <v>44066.020833333336</v>
      </c>
      <c r="S171" s="13">
        <f t="shared" si="8"/>
        <v>2.0833333335758653E-2</v>
      </c>
    </row>
    <row r="172" spans="1:19" hidden="1" x14ac:dyDescent="0.2">
      <c r="A172" t="s">
        <v>488</v>
      </c>
      <c r="B172" t="s">
        <v>489</v>
      </c>
      <c r="C172" t="s">
        <v>3</v>
      </c>
      <c r="D172" s="11" t="s">
        <v>1266</v>
      </c>
      <c r="F172" s="5">
        <v>44077</v>
      </c>
      <c r="G172" t="s">
        <v>39</v>
      </c>
      <c r="H172" t="s">
        <v>5</v>
      </c>
      <c r="I172" s="5">
        <v>44076</v>
      </c>
      <c r="J172" s="5">
        <v>44047</v>
      </c>
      <c r="K172" s="6">
        <v>0.48611111111110999</v>
      </c>
      <c r="L172" s="5">
        <v>44047</v>
      </c>
      <c r="M172" s="6">
        <v>0.50694444444443998</v>
      </c>
      <c r="N172" s="5">
        <v>44077</v>
      </c>
      <c r="Q172" s="12">
        <f t="shared" si="6"/>
        <v>44047.486111111109</v>
      </c>
      <c r="R172" s="12">
        <f t="shared" si="7"/>
        <v>44047.506944444445</v>
      </c>
      <c r="S172" s="13">
        <f t="shared" si="8"/>
        <v>2.0833333335758653E-2</v>
      </c>
    </row>
    <row r="173" spans="1:19" x14ac:dyDescent="0.2">
      <c r="A173" t="s">
        <v>490</v>
      </c>
      <c r="B173" t="s">
        <v>491</v>
      </c>
      <c r="C173" t="s">
        <v>3</v>
      </c>
      <c r="E173" s="11" t="s">
        <v>1268</v>
      </c>
      <c r="F173" s="5">
        <v>44078</v>
      </c>
      <c r="G173" t="s">
        <v>492</v>
      </c>
      <c r="H173" t="s">
        <v>5</v>
      </c>
      <c r="I173" s="5">
        <v>44077</v>
      </c>
      <c r="J173" s="5">
        <v>44049</v>
      </c>
      <c r="K173" s="6">
        <v>0.49305555555556002</v>
      </c>
      <c r="L173" s="5">
        <v>44049</v>
      </c>
      <c r="M173" s="6">
        <v>0.5</v>
      </c>
      <c r="N173" s="5">
        <v>44078</v>
      </c>
      <c r="Q173" s="12">
        <f t="shared" si="6"/>
        <v>44049.493055555555</v>
      </c>
      <c r="R173" s="12">
        <f t="shared" si="7"/>
        <v>44049.5</v>
      </c>
      <c r="S173" s="13">
        <f t="shared" si="8"/>
        <v>6.9444444452528842E-3</v>
      </c>
    </row>
    <row r="174" spans="1:19" x14ac:dyDescent="0.2">
      <c r="A174" t="s">
        <v>493</v>
      </c>
      <c r="B174" t="s">
        <v>494</v>
      </c>
      <c r="C174" t="s">
        <v>3</v>
      </c>
      <c r="E174" s="11" t="s">
        <v>1268</v>
      </c>
      <c r="F174" s="5">
        <v>44083</v>
      </c>
      <c r="G174" t="s">
        <v>495</v>
      </c>
      <c r="H174" t="s">
        <v>5</v>
      </c>
      <c r="I174" s="5">
        <v>44082</v>
      </c>
      <c r="J174" s="5">
        <v>44082</v>
      </c>
      <c r="K174" s="6">
        <v>0.91666666666666996</v>
      </c>
      <c r="L174" s="5">
        <v>44082</v>
      </c>
      <c r="M174" s="6">
        <v>0.92361111111111005</v>
      </c>
      <c r="N174" s="5">
        <v>44083</v>
      </c>
      <c r="Q174" s="12">
        <f t="shared" si="6"/>
        <v>44082.916666666664</v>
      </c>
      <c r="R174" s="12">
        <f t="shared" si="7"/>
        <v>44082.923611111109</v>
      </c>
      <c r="S174" s="13">
        <f t="shared" si="8"/>
        <v>6.9444444452528842E-3</v>
      </c>
    </row>
    <row r="175" spans="1:19" hidden="1" x14ac:dyDescent="0.2">
      <c r="A175" t="s">
        <v>496</v>
      </c>
      <c r="B175" t="s">
        <v>497</v>
      </c>
      <c r="C175" t="s">
        <v>3</v>
      </c>
      <c r="F175" s="5">
        <v>44084</v>
      </c>
      <c r="G175" t="s">
        <v>498</v>
      </c>
      <c r="H175" t="s">
        <v>5</v>
      </c>
      <c r="I175" s="5">
        <v>44083</v>
      </c>
      <c r="J175" s="5">
        <v>44076</v>
      </c>
      <c r="K175" s="6">
        <v>0.85416666666666996</v>
      </c>
      <c r="L175" s="5">
        <v>44076</v>
      </c>
      <c r="M175" s="6">
        <v>0.91666666666666996</v>
      </c>
      <c r="N175" s="5">
        <v>44084</v>
      </c>
      <c r="Q175" s="12">
        <f t="shared" si="6"/>
        <v>44076.854166666664</v>
      </c>
      <c r="R175" s="12">
        <f t="shared" si="7"/>
        <v>44076.916666666664</v>
      </c>
      <c r="S175" s="13">
        <f t="shared" si="8"/>
        <v>6.25E-2</v>
      </c>
    </row>
    <row r="176" spans="1:19" x14ac:dyDescent="0.2">
      <c r="A176" t="s">
        <v>499</v>
      </c>
      <c r="B176" t="s">
        <v>500</v>
      </c>
      <c r="C176" t="s">
        <v>3</v>
      </c>
      <c r="E176" s="11" t="s">
        <v>1268</v>
      </c>
      <c r="F176" s="5">
        <v>44090</v>
      </c>
      <c r="G176" t="s">
        <v>210</v>
      </c>
      <c r="H176" t="s">
        <v>5</v>
      </c>
      <c r="I176" s="5">
        <v>44089</v>
      </c>
      <c r="J176" s="5">
        <v>44081</v>
      </c>
      <c r="K176" s="6">
        <v>0.47916666666667002</v>
      </c>
      <c r="L176" s="5">
        <v>44081</v>
      </c>
      <c r="M176" s="6">
        <v>0.48611111111110999</v>
      </c>
      <c r="N176" s="5">
        <v>44090</v>
      </c>
      <c r="Q176" s="12">
        <f t="shared" si="6"/>
        <v>44081.479166666664</v>
      </c>
      <c r="R176" s="12">
        <f t="shared" si="7"/>
        <v>44081.486111111109</v>
      </c>
      <c r="S176" s="13">
        <f t="shared" si="8"/>
        <v>6.9444444452528842E-3</v>
      </c>
    </row>
    <row r="177" spans="1:19" x14ac:dyDescent="0.2">
      <c r="A177" t="s">
        <v>501</v>
      </c>
      <c r="B177" t="s">
        <v>502</v>
      </c>
      <c r="C177" t="s">
        <v>3</v>
      </c>
      <c r="E177" s="11" t="s">
        <v>1268</v>
      </c>
      <c r="F177" s="5">
        <v>44092</v>
      </c>
      <c r="G177" t="s">
        <v>503</v>
      </c>
      <c r="H177" t="s">
        <v>5</v>
      </c>
      <c r="I177" s="5">
        <v>44090</v>
      </c>
      <c r="J177" s="5">
        <v>44090</v>
      </c>
      <c r="K177" s="6">
        <v>0.83333333333333004</v>
      </c>
      <c r="L177" s="5">
        <v>44090</v>
      </c>
      <c r="M177" s="6">
        <v>0.84027777777778001</v>
      </c>
      <c r="N177" s="5">
        <v>44092</v>
      </c>
      <c r="Q177" s="12">
        <f t="shared" si="6"/>
        <v>44090.833333333336</v>
      </c>
      <c r="R177" s="12">
        <f t="shared" si="7"/>
        <v>44090.840277777781</v>
      </c>
      <c r="S177" s="13">
        <f t="shared" si="8"/>
        <v>6.9444444452528842E-3</v>
      </c>
    </row>
    <row r="178" spans="1:19" hidden="1" x14ac:dyDescent="0.2">
      <c r="A178" t="s">
        <v>504</v>
      </c>
      <c r="B178" t="s">
        <v>505</v>
      </c>
      <c r="C178" t="s">
        <v>3</v>
      </c>
      <c r="D178" s="11" t="s">
        <v>1266</v>
      </c>
      <c r="F178" s="5">
        <v>44100</v>
      </c>
      <c r="G178" t="s">
        <v>39</v>
      </c>
      <c r="H178" t="s">
        <v>5</v>
      </c>
      <c r="I178" s="5">
        <v>44099</v>
      </c>
      <c r="J178" s="5">
        <v>44081</v>
      </c>
      <c r="K178" s="6">
        <v>0.72916666666666996</v>
      </c>
      <c r="L178" s="5">
        <v>44081</v>
      </c>
      <c r="M178" s="6">
        <v>0.77083333333333004</v>
      </c>
      <c r="N178" s="5">
        <v>44100</v>
      </c>
      <c r="Q178" s="12">
        <f t="shared" si="6"/>
        <v>44081.729166666664</v>
      </c>
      <c r="R178" s="12">
        <f t="shared" si="7"/>
        <v>44081.770833333336</v>
      </c>
      <c r="S178" s="13">
        <f t="shared" si="8"/>
        <v>4.1666666671517305E-2</v>
      </c>
    </row>
    <row r="179" spans="1:19" hidden="1" x14ac:dyDescent="0.2">
      <c r="A179" t="s">
        <v>506</v>
      </c>
      <c r="B179" t="s">
        <v>507</v>
      </c>
      <c r="C179" t="s">
        <v>3</v>
      </c>
      <c r="D179" s="11" t="s">
        <v>1266</v>
      </c>
      <c r="F179" s="5">
        <v>44103</v>
      </c>
      <c r="G179" t="s">
        <v>39</v>
      </c>
      <c r="H179" t="s">
        <v>5</v>
      </c>
      <c r="I179" s="5">
        <v>44102</v>
      </c>
      <c r="J179" s="5">
        <v>44088</v>
      </c>
      <c r="K179" s="6">
        <v>0.82638888888888995</v>
      </c>
      <c r="L179" s="5">
        <v>44088</v>
      </c>
      <c r="M179" s="6">
        <v>0.86111111111111005</v>
      </c>
      <c r="N179" s="5">
        <v>44103</v>
      </c>
      <c r="Q179" s="12">
        <f t="shared" si="6"/>
        <v>44088.826388888891</v>
      </c>
      <c r="R179" s="12">
        <f t="shared" si="7"/>
        <v>44088.861111111109</v>
      </c>
      <c r="S179" s="13">
        <f t="shared" si="8"/>
        <v>3.4722222218988463E-2</v>
      </c>
    </row>
    <row r="180" spans="1:19" x14ac:dyDescent="0.2">
      <c r="A180" t="s">
        <v>508</v>
      </c>
      <c r="B180" t="s">
        <v>509</v>
      </c>
      <c r="C180" t="s">
        <v>3</v>
      </c>
      <c r="E180" s="11" t="s">
        <v>1268</v>
      </c>
      <c r="F180" s="5">
        <v>44103</v>
      </c>
      <c r="G180" t="s">
        <v>495</v>
      </c>
      <c r="H180" t="s">
        <v>5</v>
      </c>
      <c r="I180" s="5">
        <v>44102</v>
      </c>
      <c r="J180" s="5">
        <v>44091</v>
      </c>
      <c r="K180" s="6">
        <v>0.86458333333333004</v>
      </c>
      <c r="L180" s="5">
        <v>44091</v>
      </c>
      <c r="M180" s="6">
        <v>0.87152777777778001</v>
      </c>
      <c r="N180" s="5">
        <v>44103</v>
      </c>
      <c r="Q180" s="12">
        <f t="shared" si="6"/>
        <v>44091.864583333336</v>
      </c>
      <c r="R180" s="12">
        <f t="shared" si="7"/>
        <v>44091.871527777781</v>
      </c>
      <c r="S180" s="13">
        <f t="shared" si="8"/>
        <v>6.9444444452528842E-3</v>
      </c>
    </row>
    <row r="181" spans="1:19" hidden="1" x14ac:dyDescent="0.2">
      <c r="A181" t="s">
        <v>510</v>
      </c>
      <c r="B181" t="s">
        <v>511</v>
      </c>
      <c r="C181" t="s">
        <v>3</v>
      </c>
      <c r="F181" s="5">
        <v>44103</v>
      </c>
      <c r="G181" t="s">
        <v>512</v>
      </c>
      <c r="H181" t="s">
        <v>5</v>
      </c>
      <c r="I181" s="5">
        <v>44102</v>
      </c>
      <c r="J181" s="5">
        <v>44090</v>
      </c>
      <c r="K181" s="6">
        <v>0.58333333333333004</v>
      </c>
      <c r="L181" s="5">
        <v>44090</v>
      </c>
      <c r="M181" s="6">
        <v>0.60416666666666996</v>
      </c>
      <c r="N181" s="5">
        <v>44103</v>
      </c>
      <c r="Q181" s="12">
        <f t="shared" si="6"/>
        <v>44090.583333333336</v>
      </c>
      <c r="R181" s="12">
        <f t="shared" si="7"/>
        <v>44090.604166666664</v>
      </c>
      <c r="S181" s="13">
        <f t="shared" si="8"/>
        <v>2.0833333328482695E-2</v>
      </c>
    </row>
    <row r="182" spans="1:19" hidden="1" x14ac:dyDescent="0.2">
      <c r="A182" t="s">
        <v>513</v>
      </c>
      <c r="B182" t="s">
        <v>514</v>
      </c>
      <c r="C182" t="s">
        <v>3</v>
      </c>
      <c r="F182" s="5">
        <v>44105</v>
      </c>
      <c r="G182" t="s">
        <v>515</v>
      </c>
      <c r="H182" t="s">
        <v>5</v>
      </c>
      <c r="I182" s="5">
        <v>44104</v>
      </c>
      <c r="J182" s="5">
        <v>44098</v>
      </c>
      <c r="K182" s="6">
        <v>0.83333333333333004</v>
      </c>
      <c r="L182" s="5">
        <v>44098</v>
      </c>
      <c r="M182" s="6">
        <v>0.875</v>
      </c>
      <c r="N182" s="5">
        <v>44105</v>
      </c>
      <c r="Q182" s="12">
        <f t="shared" si="6"/>
        <v>44098.833333333336</v>
      </c>
      <c r="R182" s="12">
        <f t="shared" si="7"/>
        <v>44098.875</v>
      </c>
      <c r="S182" s="13">
        <f t="shared" si="8"/>
        <v>4.1666666664241347E-2</v>
      </c>
    </row>
    <row r="183" spans="1:19" hidden="1" x14ac:dyDescent="0.2">
      <c r="A183" t="s">
        <v>516</v>
      </c>
      <c r="B183" t="s">
        <v>517</v>
      </c>
      <c r="C183" t="s">
        <v>3</v>
      </c>
      <c r="F183" s="5">
        <v>44106</v>
      </c>
      <c r="G183" t="s">
        <v>518</v>
      </c>
      <c r="H183" t="s">
        <v>15</v>
      </c>
      <c r="I183" s="5">
        <v>44105</v>
      </c>
      <c r="J183" s="5">
        <v>44096</v>
      </c>
      <c r="K183" s="6">
        <v>0.61111111111111005</v>
      </c>
      <c r="L183" s="5">
        <v>44096</v>
      </c>
      <c r="M183" s="6">
        <v>0.63194444444443998</v>
      </c>
      <c r="N183" s="5">
        <v>44106</v>
      </c>
      <c r="Q183" s="12">
        <f t="shared" si="6"/>
        <v>44096.611111111109</v>
      </c>
      <c r="R183" s="12">
        <f t="shared" si="7"/>
        <v>44096.631944444445</v>
      </c>
      <c r="S183" s="13">
        <f t="shared" si="8"/>
        <v>2.0833333335758653E-2</v>
      </c>
    </row>
    <row r="184" spans="1:19" x14ac:dyDescent="0.2">
      <c r="A184" t="s">
        <v>519</v>
      </c>
      <c r="B184" t="s">
        <v>520</v>
      </c>
      <c r="C184" t="s">
        <v>3</v>
      </c>
      <c r="E184" s="11" t="s">
        <v>1268</v>
      </c>
      <c r="F184" s="5">
        <v>44110</v>
      </c>
      <c r="G184" t="s">
        <v>521</v>
      </c>
      <c r="H184" t="s">
        <v>5</v>
      </c>
      <c r="I184" s="5">
        <v>44109</v>
      </c>
      <c r="J184" s="5">
        <v>44096</v>
      </c>
      <c r="K184" s="6">
        <v>0.61111111111111005</v>
      </c>
      <c r="L184" s="5">
        <v>44096</v>
      </c>
      <c r="M184" s="6">
        <v>0.625</v>
      </c>
      <c r="N184" s="5">
        <v>44110</v>
      </c>
      <c r="Q184" s="12">
        <f t="shared" si="6"/>
        <v>44096.611111111109</v>
      </c>
      <c r="R184" s="12">
        <f t="shared" si="7"/>
        <v>44096.625</v>
      </c>
      <c r="S184" s="13">
        <f t="shared" si="8"/>
        <v>1.3888888890505768E-2</v>
      </c>
    </row>
    <row r="185" spans="1:19" hidden="1" x14ac:dyDescent="0.2">
      <c r="A185" t="s">
        <v>522</v>
      </c>
      <c r="B185" t="s">
        <v>523</v>
      </c>
      <c r="C185" t="s">
        <v>3</v>
      </c>
      <c r="D185" s="11" t="s">
        <v>1268</v>
      </c>
      <c r="F185" s="5">
        <v>44110</v>
      </c>
      <c r="G185" t="s">
        <v>524</v>
      </c>
      <c r="H185" t="s">
        <v>5</v>
      </c>
      <c r="I185" s="5">
        <v>44109</v>
      </c>
      <c r="J185" s="5">
        <v>44098</v>
      </c>
      <c r="K185" s="6">
        <v>0.70833333333333004</v>
      </c>
      <c r="L185" s="5">
        <v>44098</v>
      </c>
      <c r="M185" s="6">
        <v>0.75</v>
      </c>
      <c r="N185" s="5">
        <v>44110</v>
      </c>
      <c r="Q185" s="12">
        <f t="shared" si="6"/>
        <v>44098.708333333336</v>
      </c>
      <c r="R185" s="12">
        <f t="shared" si="7"/>
        <v>44098.75</v>
      </c>
      <c r="S185" s="13">
        <f t="shared" si="8"/>
        <v>4.1666666664241347E-2</v>
      </c>
    </row>
    <row r="186" spans="1:19" hidden="1" x14ac:dyDescent="0.2">
      <c r="A186" t="s">
        <v>525</v>
      </c>
      <c r="B186" t="s">
        <v>526</v>
      </c>
      <c r="C186" t="s">
        <v>3</v>
      </c>
      <c r="D186" s="11" t="s">
        <v>1266</v>
      </c>
      <c r="F186" s="5">
        <v>44151</v>
      </c>
      <c r="G186" t="s">
        <v>527</v>
      </c>
      <c r="H186" t="s">
        <v>5</v>
      </c>
      <c r="I186" s="5">
        <v>44146</v>
      </c>
      <c r="J186" s="5">
        <v>44146</v>
      </c>
      <c r="K186" s="6">
        <v>0.66666666666666996</v>
      </c>
      <c r="L186" s="5">
        <v>44146</v>
      </c>
      <c r="M186" s="6">
        <v>0.70833333333333004</v>
      </c>
      <c r="N186" s="5">
        <v>44151</v>
      </c>
      <c r="Q186" s="12">
        <f t="shared" si="6"/>
        <v>44146.666666666664</v>
      </c>
      <c r="R186" s="12">
        <f t="shared" si="7"/>
        <v>44146.708333333336</v>
      </c>
      <c r="S186" s="13">
        <f t="shared" si="8"/>
        <v>4.1666666671517305E-2</v>
      </c>
    </row>
    <row r="187" spans="1:19" hidden="1" x14ac:dyDescent="0.2">
      <c r="A187" t="s">
        <v>528</v>
      </c>
      <c r="B187" t="s">
        <v>529</v>
      </c>
      <c r="C187" t="s">
        <v>3</v>
      </c>
      <c r="D187" s="11" t="s">
        <v>1268</v>
      </c>
      <c r="F187" s="5">
        <v>44160</v>
      </c>
      <c r="G187" t="s">
        <v>530</v>
      </c>
      <c r="H187" t="s">
        <v>5</v>
      </c>
      <c r="I187" s="5">
        <v>44154</v>
      </c>
      <c r="J187" s="5">
        <v>44154</v>
      </c>
      <c r="K187" s="6">
        <v>0.75</v>
      </c>
      <c r="L187" s="5">
        <v>44154</v>
      </c>
      <c r="M187" s="6">
        <v>0.76388888888888995</v>
      </c>
      <c r="N187" s="5">
        <v>44160</v>
      </c>
      <c r="Q187" s="12">
        <f t="shared" si="6"/>
        <v>44154.75</v>
      </c>
      <c r="R187" s="12">
        <f t="shared" si="7"/>
        <v>44154.763888888891</v>
      </c>
      <c r="S187" s="13">
        <f t="shared" si="8"/>
        <v>1.3888888890505768E-2</v>
      </c>
    </row>
    <row r="188" spans="1:19" x14ac:dyDescent="0.2">
      <c r="A188" t="s">
        <v>531</v>
      </c>
      <c r="B188" t="s">
        <v>532</v>
      </c>
      <c r="C188" t="s">
        <v>3</v>
      </c>
      <c r="E188" s="11" t="s">
        <v>1268</v>
      </c>
      <c r="F188" s="5">
        <v>44160</v>
      </c>
      <c r="G188" t="s">
        <v>533</v>
      </c>
      <c r="H188" t="s">
        <v>5</v>
      </c>
      <c r="I188" s="5">
        <v>44159</v>
      </c>
      <c r="J188" s="5">
        <v>44159</v>
      </c>
      <c r="K188" s="6">
        <v>0.5</v>
      </c>
      <c r="L188" s="5">
        <v>44159</v>
      </c>
      <c r="M188" s="6">
        <v>0.51388888888888995</v>
      </c>
      <c r="N188" s="5">
        <v>44160</v>
      </c>
      <c r="Q188" s="12">
        <f t="shared" si="6"/>
        <v>44159.5</v>
      </c>
      <c r="R188" s="12">
        <f t="shared" si="7"/>
        <v>44159.513888888891</v>
      </c>
      <c r="S188" s="13">
        <f t="shared" si="8"/>
        <v>1.3888888890505768E-2</v>
      </c>
    </row>
    <row r="189" spans="1:19" hidden="1" x14ac:dyDescent="0.2">
      <c r="A189" t="s">
        <v>534</v>
      </c>
      <c r="B189" t="s">
        <v>535</v>
      </c>
      <c r="C189" t="s">
        <v>3</v>
      </c>
      <c r="D189" s="11" t="s">
        <v>1268</v>
      </c>
      <c r="F189" s="5">
        <v>44166</v>
      </c>
      <c r="G189" t="s">
        <v>536</v>
      </c>
      <c r="H189" t="s">
        <v>5</v>
      </c>
      <c r="I189" s="5">
        <v>44165</v>
      </c>
      <c r="J189" s="5">
        <v>44146</v>
      </c>
      <c r="K189" s="6">
        <v>2.0833333333330002E-2</v>
      </c>
      <c r="L189" s="5">
        <v>44146</v>
      </c>
      <c r="M189" s="6">
        <v>3.4722222222220003E-2</v>
      </c>
      <c r="N189" s="5">
        <v>44166</v>
      </c>
      <c r="Q189" s="12">
        <f t="shared" si="6"/>
        <v>44146.020833333336</v>
      </c>
      <c r="R189" s="12">
        <f t="shared" si="7"/>
        <v>44146.034722222219</v>
      </c>
      <c r="S189" s="13">
        <f t="shared" si="8"/>
        <v>1.3888888883229811E-2</v>
      </c>
    </row>
    <row r="190" spans="1:19" hidden="1" x14ac:dyDescent="0.2">
      <c r="A190" t="s">
        <v>537</v>
      </c>
      <c r="B190" t="s">
        <v>538</v>
      </c>
      <c r="C190" t="s">
        <v>3</v>
      </c>
      <c r="D190" s="11" t="s">
        <v>1266</v>
      </c>
      <c r="F190" s="5">
        <v>44166</v>
      </c>
      <c r="G190" t="s">
        <v>39</v>
      </c>
      <c r="H190" t="s">
        <v>5</v>
      </c>
      <c r="I190" s="5">
        <v>44165</v>
      </c>
      <c r="J190" s="5">
        <v>44147</v>
      </c>
      <c r="K190" s="6">
        <v>0.14583333333333001</v>
      </c>
      <c r="L190" s="5">
        <v>44147</v>
      </c>
      <c r="M190" s="6">
        <v>0.20833333333333001</v>
      </c>
      <c r="N190" s="5">
        <v>44166</v>
      </c>
      <c r="Q190" s="12">
        <f t="shared" si="6"/>
        <v>44147.145833333336</v>
      </c>
      <c r="R190" s="12">
        <f t="shared" si="7"/>
        <v>44147.208333333336</v>
      </c>
      <c r="S190" s="13">
        <f t="shared" si="8"/>
        <v>6.25E-2</v>
      </c>
    </row>
    <row r="191" spans="1:19" hidden="1" x14ac:dyDescent="0.2">
      <c r="A191" t="s">
        <v>539</v>
      </c>
      <c r="B191" t="s">
        <v>540</v>
      </c>
      <c r="C191" t="s">
        <v>3</v>
      </c>
      <c r="D191" s="11" t="s">
        <v>1268</v>
      </c>
      <c r="F191" s="5">
        <v>44167</v>
      </c>
      <c r="G191" t="s">
        <v>536</v>
      </c>
      <c r="H191" t="s">
        <v>5</v>
      </c>
      <c r="I191" s="5">
        <v>44166</v>
      </c>
      <c r="J191" s="5">
        <v>44156</v>
      </c>
      <c r="K191" s="6">
        <v>0.3125</v>
      </c>
      <c r="L191" s="5">
        <v>44156</v>
      </c>
      <c r="M191" s="6">
        <v>0.32638888888889001</v>
      </c>
      <c r="N191" s="5">
        <v>44167</v>
      </c>
      <c r="Q191" s="12">
        <f t="shared" si="6"/>
        <v>44156.3125</v>
      </c>
      <c r="R191" s="12">
        <f t="shared" si="7"/>
        <v>44156.326388888891</v>
      </c>
      <c r="S191" s="13">
        <f t="shared" si="8"/>
        <v>1.3888888890505768E-2</v>
      </c>
    </row>
    <row r="192" spans="1:19" hidden="1" x14ac:dyDescent="0.2">
      <c r="A192" t="s">
        <v>541</v>
      </c>
      <c r="B192" t="s">
        <v>542</v>
      </c>
      <c r="C192" t="s">
        <v>3</v>
      </c>
      <c r="D192" s="11" t="s">
        <v>1266</v>
      </c>
      <c r="F192" s="5">
        <v>44167</v>
      </c>
      <c r="G192" t="s">
        <v>39</v>
      </c>
      <c r="H192" t="s">
        <v>5</v>
      </c>
      <c r="I192" s="5">
        <v>44162</v>
      </c>
      <c r="J192" s="5">
        <v>44162</v>
      </c>
      <c r="K192" s="6">
        <v>0.33333333333332998</v>
      </c>
      <c r="L192" s="5">
        <v>44162</v>
      </c>
      <c r="M192" s="6">
        <v>0.45833333333332998</v>
      </c>
      <c r="N192" s="5">
        <v>44167</v>
      </c>
      <c r="Q192" s="12">
        <f t="shared" si="6"/>
        <v>44162.333333333336</v>
      </c>
      <c r="R192" s="12">
        <f t="shared" si="7"/>
        <v>44162.458333333336</v>
      </c>
      <c r="S192" s="13">
        <f t="shared" si="8"/>
        <v>0.125</v>
      </c>
    </row>
    <row r="193" spans="1:19" hidden="1" x14ac:dyDescent="0.2">
      <c r="A193" t="s">
        <v>543</v>
      </c>
      <c r="B193" t="s">
        <v>544</v>
      </c>
      <c r="C193" t="s">
        <v>3</v>
      </c>
      <c r="F193" s="5">
        <v>44181</v>
      </c>
      <c r="G193" t="s">
        <v>545</v>
      </c>
      <c r="H193" t="s">
        <v>546</v>
      </c>
      <c r="I193" s="5">
        <v>44180</v>
      </c>
      <c r="J193" s="5">
        <v>44180</v>
      </c>
      <c r="K193" s="6">
        <v>0.625</v>
      </c>
      <c r="L193" s="5">
        <v>44180</v>
      </c>
      <c r="M193" s="6">
        <v>0.64583333333333004</v>
      </c>
      <c r="N193" s="5">
        <v>44181</v>
      </c>
      <c r="Q193" s="12">
        <f t="shared" si="6"/>
        <v>44180.625</v>
      </c>
      <c r="R193" s="12">
        <f t="shared" si="7"/>
        <v>44180.645833333336</v>
      </c>
      <c r="S193" s="13">
        <f t="shared" si="8"/>
        <v>2.0833333335758653E-2</v>
      </c>
    </row>
    <row r="194" spans="1:19" hidden="1" x14ac:dyDescent="0.2">
      <c r="A194" t="s">
        <v>547</v>
      </c>
      <c r="B194" t="s">
        <v>548</v>
      </c>
      <c r="C194" t="s">
        <v>3</v>
      </c>
      <c r="D194" s="11" t="s">
        <v>1268</v>
      </c>
      <c r="F194" s="5">
        <v>44182</v>
      </c>
      <c r="G194" t="s">
        <v>549</v>
      </c>
      <c r="H194" t="s">
        <v>5</v>
      </c>
      <c r="I194" s="5">
        <v>44176</v>
      </c>
      <c r="J194" s="5">
        <v>44176</v>
      </c>
      <c r="K194" s="6">
        <v>0.45833333333332998</v>
      </c>
      <c r="L194" s="5">
        <v>44176</v>
      </c>
      <c r="M194" s="6">
        <v>0.47916666666667002</v>
      </c>
      <c r="N194" s="5">
        <v>44182</v>
      </c>
      <c r="Q194" s="12">
        <f t="shared" si="6"/>
        <v>44176.458333333336</v>
      </c>
      <c r="R194" s="12">
        <f t="shared" si="7"/>
        <v>44176.479166666664</v>
      </c>
      <c r="S194" s="13">
        <f t="shared" si="8"/>
        <v>2.0833333328482695E-2</v>
      </c>
    </row>
    <row r="195" spans="1:19" x14ac:dyDescent="0.2">
      <c r="A195" t="s">
        <v>550</v>
      </c>
      <c r="B195" t="s">
        <v>551</v>
      </c>
      <c r="C195" t="s">
        <v>3</v>
      </c>
      <c r="E195" s="11" t="s">
        <v>1268</v>
      </c>
      <c r="F195" s="5">
        <v>44182</v>
      </c>
      <c r="G195" t="s">
        <v>552</v>
      </c>
      <c r="H195" t="s">
        <v>5</v>
      </c>
      <c r="I195" s="5">
        <v>44182</v>
      </c>
      <c r="J195" s="5">
        <v>44182</v>
      </c>
      <c r="K195" s="6">
        <v>1.388888888889E-2</v>
      </c>
      <c r="L195" s="5">
        <v>44182</v>
      </c>
      <c r="M195" s="6">
        <v>3.4722222222220003E-2</v>
      </c>
      <c r="N195" s="5">
        <v>44182</v>
      </c>
      <c r="Q195" s="12">
        <f t="shared" si="6"/>
        <v>44182.013888888891</v>
      </c>
      <c r="R195" s="12">
        <f t="shared" si="7"/>
        <v>44182.034722222219</v>
      </c>
      <c r="S195" s="13">
        <f t="shared" si="8"/>
        <v>2.0833333328482695E-2</v>
      </c>
    </row>
    <row r="196" spans="1:19" x14ac:dyDescent="0.2">
      <c r="A196" t="s">
        <v>553</v>
      </c>
      <c r="B196" t="s">
        <v>554</v>
      </c>
      <c r="C196" t="s">
        <v>3</v>
      </c>
      <c r="E196" s="11" t="s">
        <v>1268</v>
      </c>
      <c r="F196" s="5">
        <v>44183</v>
      </c>
      <c r="G196" t="s">
        <v>555</v>
      </c>
      <c r="H196" t="s">
        <v>5</v>
      </c>
      <c r="I196" s="5">
        <v>44182</v>
      </c>
      <c r="J196" s="5">
        <v>44182</v>
      </c>
      <c r="K196" s="6">
        <v>0.16666666666666999</v>
      </c>
      <c r="L196" s="5">
        <v>44182</v>
      </c>
      <c r="M196" s="6">
        <v>0.18055555555555999</v>
      </c>
      <c r="N196" s="5">
        <v>44183</v>
      </c>
      <c r="Q196" s="12">
        <f t="shared" ref="Q196:Q259" si="9">J196+K196</f>
        <v>44182.166666666664</v>
      </c>
      <c r="R196" s="12">
        <f t="shared" ref="R196:R259" si="10">L196+M196</f>
        <v>44182.180555555555</v>
      </c>
      <c r="S196" s="13">
        <f t="shared" ref="S196:S259" si="11">R196-Q196</f>
        <v>1.3888888890505768E-2</v>
      </c>
    </row>
    <row r="197" spans="1:19" x14ac:dyDescent="0.2">
      <c r="A197" t="s">
        <v>556</v>
      </c>
      <c r="B197" t="s">
        <v>557</v>
      </c>
      <c r="C197" t="s">
        <v>3</v>
      </c>
      <c r="E197" s="11" t="s">
        <v>1268</v>
      </c>
      <c r="F197" s="5">
        <v>44183</v>
      </c>
      <c r="G197" t="s">
        <v>558</v>
      </c>
      <c r="H197" t="s">
        <v>546</v>
      </c>
      <c r="I197" s="5">
        <v>44182</v>
      </c>
      <c r="J197" s="5">
        <v>44182</v>
      </c>
      <c r="K197" s="6">
        <v>0.3125</v>
      </c>
      <c r="L197" s="5">
        <v>44182</v>
      </c>
      <c r="M197" s="6">
        <v>0.35416666666667002</v>
      </c>
      <c r="N197" s="5">
        <v>44183</v>
      </c>
      <c r="Q197" s="12">
        <f t="shared" si="9"/>
        <v>44182.3125</v>
      </c>
      <c r="R197" s="12">
        <f t="shared" si="10"/>
        <v>44182.354166666664</v>
      </c>
      <c r="S197" s="13">
        <f t="shared" si="11"/>
        <v>4.1666666664241347E-2</v>
      </c>
    </row>
    <row r="198" spans="1:19" hidden="1" x14ac:dyDescent="0.2">
      <c r="A198" t="s">
        <v>559</v>
      </c>
      <c r="B198" t="s">
        <v>560</v>
      </c>
      <c r="C198" t="s">
        <v>3</v>
      </c>
      <c r="F198" s="5">
        <v>44183</v>
      </c>
      <c r="G198" t="s">
        <v>444</v>
      </c>
      <c r="H198" t="s">
        <v>5</v>
      </c>
      <c r="I198" s="5">
        <v>44182</v>
      </c>
      <c r="J198" s="5">
        <v>44182</v>
      </c>
      <c r="K198" s="6">
        <v>0.8125</v>
      </c>
      <c r="L198" s="5">
        <v>44182</v>
      </c>
      <c r="M198" s="6">
        <v>0.83333333333333004</v>
      </c>
      <c r="N198" s="5">
        <v>44183</v>
      </c>
      <c r="Q198" s="12">
        <f t="shared" si="9"/>
        <v>44182.8125</v>
      </c>
      <c r="R198" s="12">
        <f t="shared" si="10"/>
        <v>44182.833333333336</v>
      </c>
      <c r="S198" s="13">
        <f t="shared" si="11"/>
        <v>2.0833333335758653E-2</v>
      </c>
    </row>
    <row r="199" spans="1:19" hidden="1" x14ac:dyDescent="0.2">
      <c r="A199" t="s">
        <v>561</v>
      </c>
      <c r="B199" t="s">
        <v>562</v>
      </c>
      <c r="C199" t="s">
        <v>3</v>
      </c>
      <c r="F199" s="5">
        <v>44183</v>
      </c>
      <c r="G199" t="s">
        <v>563</v>
      </c>
      <c r="H199" t="s">
        <v>5</v>
      </c>
      <c r="I199" s="5">
        <v>44182</v>
      </c>
      <c r="J199" s="5">
        <v>44182</v>
      </c>
      <c r="K199" s="6">
        <v>0.93055555555556002</v>
      </c>
      <c r="L199" s="5">
        <v>44182</v>
      </c>
      <c r="M199" s="6">
        <v>0.9375</v>
      </c>
      <c r="N199" s="5">
        <v>44183</v>
      </c>
      <c r="Q199" s="12">
        <f t="shared" si="9"/>
        <v>44182.930555555555</v>
      </c>
      <c r="R199" s="12">
        <f t="shared" si="10"/>
        <v>44182.9375</v>
      </c>
      <c r="S199" s="13">
        <f t="shared" si="11"/>
        <v>6.9444444452528842E-3</v>
      </c>
    </row>
    <row r="200" spans="1:19" hidden="1" x14ac:dyDescent="0.2">
      <c r="A200" t="s">
        <v>564</v>
      </c>
      <c r="B200" t="s">
        <v>565</v>
      </c>
      <c r="C200" t="s">
        <v>3</v>
      </c>
      <c r="F200" s="5">
        <v>44183</v>
      </c>
      <c r="G200" t="s">
        <v>566</v>
      </c>
      <c r="H200" t="s">
        <v>5</v>
      </c>
      <c r="I200" s="5">
        <v>44183</v>
      </c>
      <c r="J200" s="5">
        <v>44183</v>
      </c>
      <c r="K200" s="6">
        <v>6.9444444444399997E-3</v>
      </c>
      <c r="L200" s="5">
        <v>44183</v>
      </c>
      <c r="M200" s="6">
        <v>2.777777777778E-2</v>
      </c>
      <c r="N200" s="5">
        <v>44183</v>
      </c>
      <c r="Q200" s="12">
        <f t="shared" si="9"/>
        <v>44183.006944444445</v>
      </c>
      <c r="R200" s="12">
        <f t="shared" si="10"/>
        <v>44183.027777777781</v>
      </c>
      <c r="S200" s="13">
        <f t="shared" si="11"/>
        <v>2.0833333335758653E-2</v>
      </c>
    </row>
    <row r="201" spans="1:19" hidden="1" x14ac:dyDescent="0.2">
      <c r="A201" t="s">
        <v>567</v>
      </c>
      <c r="B201" t="s">
        <v>568</v>
      </c>
      <c r="C201" t="s">
        <v>3</v>
      </c>
      <c r="F201" s="5">
        <v>44186</v>
      </c>
      <c r="G201" t="s">
        <v>569</v>
      </c>
      <c r="H201" t="s">
        <v>5</v>
      </c>
      <c r="I201" s="5">
        <v>44184</v>
      </c>
      <c r="J201" s="5">
        <v>44184</v>
      </c>
      <c r="K201" s="6">
        <v>8.3333333333329998E-2</v>
      </c>
      <c r="L201" s="5">
        <v>44184</v>
      </c>
      <c r="M201" s="6">
        <v>0.10416666666667</v>
      </c>
      <c r="N201" s="5">
        <v>44186</v>
      </c>
      <c r="Q201" s="12">
        <f t="shared" si="9"/>
        <v>44184.083333333336</v>
      </c>
      <c r="R201" s="12">
        <f t="shared" si="10"/>
        <v>44184.104166666664</v>
      </c>
      <c r="S201" s="13">
        <f t="shared" si="11"/>
        <v>2.0833333328482695E-2</v>
      </c>
    </row>
    <row r="202" spans="1:19" hidden="1" x14ac:dyDescent="0.2">
      <c r="A202" t="s">
        <v>570</v>
      </c>
      <c r="B202" t="s">
        <v>571</v>
      </c>
      <c r="C202" t="s">
        <v>3</v>
      </c>
      <c r="F202" s="5">
        <v>44188</v>
      </c>
      <c r="G202" t="s">
        <v>572</v>
      </c>
      <c r="H202" t="s">
        <v>546</v>
      </c>
      <c r="I202" s="5">
        <v>44187</v>
      </c>
      <c r="J202" s="5">
        <v>44180</v>
      </c>
      <c r="K202" s="6">
        <v>0.58333333333333004</v>
      </c>
      <c r="L202" s="5">
        <v>44180</v>
      </c>
      <c r="M202" s="6">
        <v>0.59722222222221999</v>
      </c>
      <c r="N202" s="5">
        <v>44188</v>
      </c>
      <c r="Q202" s="12">
        <f t="shared" si="9"/>
        <v>44180.583333333336</v>
      </c>
      <c r="R202" s="12">
        <f t="shared" si="10"/>
        <v>44180.597222222219</v>
      </c>
      <c r="S202" s="13">
        <f t="shared" si="11"/>
        <v>1.3888888883229811E-2</v>
      </c>
    </row>
    <row r="203" spans="1:19" hidden="1" x14ac:dyDescent="0.2">
      <c r="A203" t="s">
        <v>573</v>
      </c>
      <c r="B203" t="s">
        <v>574</v>
      </c>
      <c r="C203" t="s">
        <v>3</v>
      </c>
      <c r="D203" s="11" t="s">
        <v>1266</v>
      </c>
      <c r="F203" s="5">
        <v>44188</v>
      </c>
      <c r="G203" t="s">
        <v>39</v>
      </c>
      <c r="H203" t="s">
        <v>5</v>
      </c>
      <c r="I203" s="5">
        <v>44187</v>
      </c>
      <c r="J203" s="5">
        <v>44181</v>
      </c>
      <c r="K203" s="6">
        <v>0.60416666666666996</v>
      </c>
      <c r="L203" s="5">
        <v>44181</v>
      </c>
      <c r="M203" s="6">
        <v>0.6875</v>
      </c>
      <c r="N203" s="5">
        <v>44188</v>
      </c>
      <c r="Q203" s="12">
        <f t="shared" si="9"/>
        <v>44181.604166666664</v>
      </c>
      <c r="R203" s="12">
        <f t="shared" si="10"/>
        <v>44181.6875</v>
      </c>
      <c r="S203" s="13">
        <f t="shared" si="11"/>
        <v>8.3333333335758653E-2</v>
      </c>
    </row>
    <row r="204" spans="1:19" hidden="1" x14ac:dyDescent="0.2">
      <c r="A204" t="s">
        <v>575</v>
      </c>
      <c r="B204" t="s">
        <v>576</v>
      </c>
      <c r="C204" t="s">
        <v>3</v>
      </c>
      <c r="F204" s="5">
        <v>44189</v>
      </c>
      <c r="G204" t="s">
        <v>577</v>
      </c>
      <c r="H204" t="s">
        <v>546</v>
      </c>
      <c r="I204" s="5">
        <v>44183</v>
      </c>
      <c r="J204" s="5">
        <v>44183</v>
      </c>
      <c r="K204" s="6">
        <v>0.39583333333332998</v>
      </c>
      <c r="L204" s="5">
        <v>44183</v>
      </c>
      <c r="M204" s="6">
        <v>0.40972222222221999</v>
      </c>
      <c r="N204" s="5">
        <v>44189</v>
      </c>
      <c r="Q204" s="12">
        <f t="shared" si="9"/>
        <v>44183.395833333336</v>
      </c>
      <c r="R204" s="12">
        <f t="shared" si="10"/>
        <v>44183.409722222219</v>
      </c>
      <c r="S204" s="13">
        <f t="shared" si="11"/>
        <v>1.3888888883229811E-2</v>
      </c>
    </row>
    <row r="205" spans="1:19" x14ac:dyDescent="0.2">
      <c r="A205" t="s">
        <v>578</v>
      </c>
      <c r="B205" t="s">
        <v>579</v>
      </c>
      <c r="C205" t="s">
        <v>3</v>
      </c>
      <c r="E205" s="11" t="s">
        <v>1268</v>
      </c>
      <c r="F205" s="5">
        <v>44189</v>
      </c>
      <c r="G205" t="s">
        <v>580</v>
      </c>
      <c r="H205" t="s">
        <v>5</v>
      </c>
      <c r="I205" s="5">
        <v>44183</v>
      </c>
      <c r="J205" s="5">
        <v>44183</v>
      </c>
      <c r="K205" s="6">
        <v>0.5</v>
      </c>
      <c r="L205" s="5">
        <v>44183</v>
      </c>
      <c r="M205" s="6">
        <v>0.51388888888888995</v>
      </c>
      <c r="N205" s="5">
        <v>44189</v>
      </c>
      <c r="Q205" s="12">
        <f t="shared" si="9"/>
        <v>44183.5</v>
      </c>
      <c r="R205" s="12">
        <f t="shared" si="10"/>
        <v>44183.513888888891</v>
      </c>
      <c r="S205" s="13">
        <f t="shared" si="11"/>
        <v>1.3888888890505768E-2</v>
      </c>
    </row>
    <row r="206" spans="1:19" hidden="1" x14ac:dyDescent="0.2">
      <c r="A206" t="s">
        <v>581</v>
      </c>
      <c r="B206" t="s">
        <v>582</v>
      </c>
      <c r="C206" t="s">
        <v>3</v>
      </c>
      <c r="D206" s="11" t="s">
        <v>1268</v>
      </c>
      <c r="F206" s="5">
        <v>44191</v>
      </c>
      <c r="G206" t="s">
        <v>583</v>
      </c>
      <c r="H206" t="s">
        <v>5</v>
      </c>
      <c r="I206" s="5">
        <v>44189</v>
      </c>
      <c r="J206" s="5">
        <v>44189</v>
      </c>
      <c r="K206" s="6">
        <v>0.25</v>
      </c>
      <c r="L206" s="5">
        <v>44189</v>
      </c>
      <c r="M206" s="6">
        <v>0.29166666666667002</v>
      </c>
      <c r="N206" s="5">
        <v>44191</v>
      </c>
      <c r="Q206" s="12">
        <f t="shared" si="9"/>
        <v>44189.25</v>
      </c>
      <c r="R206" s="12">
        <f t="shared" si="10"/>
        <v>44189.291666666664</v>
      </c>
      <c r="S206" s="13">
        <f t="shared" si="11"/>
        <v>4.1666666664241347E-2</v>
      </c>
    </row>
    <row r="207" spans="1:19" x14ac:dyDescent="0.2">
      <c r="A207" t="s">
        <v>584</v>
      </c>
      <c r="B207" t="s">
        <v>585</v>
      </c>
      <c r="C207" t="s">
        <v>3</v>
      </c>
      <c r="E207" s="11" t="s">
        <v>1268</v>
      </c>
      <c r="F207" s="5">
        <v>44193</v>
      </c>
      <c r="G207" t="s">
        <v>586</v>
      </c>
      <c r="H207" t="s">
        <v>5</v>
      </c>
      <c r="I207" s="5">
        <v>44189</v>
      </c>
      <c r="J207" s="5">
        <v>44189</v>
      </c>
      <c r="K207" s="6">
        <v>0.25</v>
      </c>
      <c r="L207" s="5">
        <v>44189</v>
      </c>
      <c r="M207" s="6">
        <v>0.25694444444443998</v>
      </c>
      <c r="N207" s="5">
        <v>44193</v>
      </c>
      <c r="Q207" s="12">
        <f t="shared" si="9"/>
        <v>44189.25</v>
      </c>
      <c r="R207" s="12">
        <f t="shared" si="10"/>
        <v>44189.256944444445</v>
      </c>
      <c r="S207" s="13">
        <f t="shared" si="11"/>
        <v>6.9444444452528842E-3</v>
      </c>
    </row>
    <row r="208" spans="1:19" hidden="1" x14ac:dyDescent="0.2">
      <c r="A208" t="s">
        <v>587</v>
      </c>
      <c r="B208" t="s">
        <v>588</v>
      </c>
      <c r="C208" t="s">
        <v>3</v>
      </c>
      <c r="F208" s="5">
        <v>44194</v>
      </c>
      <c r="G208" t="s">
        <v>589</v>
      </c>
      <c r="H208" t="s">
        <v>5</v>
      </c>
      <c r="I208" s="5">
        <v>44194</v>
      </c>
      <c r="J208" s="5">
        <v>44194</v>
      </c>
      <c r="K208" s="6">
        <v>0.41666666666667002</v>
      </c>
      <c r="L208" s="5">
        <v>44194</v>
      </c>
      <c r="M208" s="6">
        <v>0.45833333333332998</v>
      </c>
      <c r="N208" s="5">
        <v>44194</v>
      </c>
      <c r="Q208" s="12">
        <f t="shared" si="9"/>
        <v>44194.416666666664</v>
      </c>
      <c r="R208" s="12">
        <f t="shared" si="10"/>
        <v>44194.458333333336</v>
      </c>
      <c r="S208" s="13">
        <f t="shared" si="11"/>
        <v>4.1666666671517305E-2</v>
      </c>
    </row>
    <row r="209" spans="1:19" hidden="1" x14ac:dyDescent="0.2">
      <c r="A209" t="s">
        <v>590</v>
      </c>
      <c r="B209" t="s">
        <v>591</v>
      </c>
      <c r="C209" t="s">
        <v>3</v>
      </c>
      <c r="F209" s="5">
        <v>44194</v>
      </c>
      <c r="G209" t="s">
        <v>592</v>
      </c>
      <c r="H209" t="s">
        <v>5</v>
      </c>
      <c r="I209" s="5">
        <v>44193</v>
      </c>
      <c r="J209" s="5">
        <v>44168</v>
      </c>
      <c r="K209" s="6">
        <v>0.4375</v>
      </c>
      <c r="L209" s="5">
        <v>44168</v>
      </c>
      <c r="M209" s="6">
        <v>0.45138888888889001</v>
      </c>
      <c r="N209" s="5">
        <v>44194</v>
      </c>
      <c r="Q209" s="12">
        <f t="shared" si="9"/>
        <v>44168.4375</v>
      </c>
      <c r="R209" s="12">
        <f t="shared" si="10"/>
        <v>44168.451388888891</v>
      </c>
      <c r="S209" s="13">
        <f t="shared" si="11"/>
        <v>1.3888888890505768E-2</v>
      </c>
    </row>
    <row r="210" spans="1:19" hidden="1" x14ac:dyDescent="0.2">
      <c r="A210" t="s">
        <v>593</v>
      </c>
      <c r="B210" t="s">
        <v>594</v>
      </c>
      <c r="C210" t="s">
        <v>3</v>
      </c>
      <c r="F210" s="5">
        <v>44194</v>
      </c>
      <c r="G210" t="s">
        <v>444</v>
      </c>
      <c r="H210" t="s">
        <v>5</v>
      </c>
      <c r="I210" s="5">
        <v>44193</v>
      </c>
      <c r="J210" s="5">
        <v>44184</v>
      </c>
      <c r="K210" s="6">
        <v>0.375</v>
      </c>
      <c r="L210" s="5">
        <v>44184</v>
      </c>
      <c r="M210" s="6">
        <v>0.39583333333332998</v>
      </c>
      <c r="N210" s="5">
        <v>44194</v>
      </c>
      <c r="Q210" s="12">
        <f t="shared" si="9"/>
        <v>44184.375</v>
      </c>
      <c r="R210" s="12">
        <f t="shared" si="10"/>
        <v>44184.395833333336</v>
      </c>
      <c r="S210" s="13">
        <f t="shared" si="11"/>
        <v>2.0833333335758653E-2</v>
      </c>
    </row>
    <row r="211" spans="1:19" x14ac:dyDescent="0.2">
      <c r="A211" t="s">
        <v>595</v>
      </c>
      <c r="B211" t="s">
        <v>596</v>
      </c>
      <c r="C211" t="s">
        <v>3</v>
      </c>
      <c r="E211" s="11" t="s">
        <v>1268</v>
      </c>
      <c r="F211" s="5">
        <v>44194</v>
      </c>
      <c r="G211" t="s">
        <v>597</v>
      </c>
      <c r="H211" t="s">
        <v>5</v>
      </c>
      <c r="I211" s="5">
        <v>44192</v>
      </c>
      <c r="J211" s="5">
        <v>44192</v>
      </c>
      <c r="K211" s="6">
        <v>0.125</v>
      </c>
      <c r="L211" s="5">
        <v>44192</v>
      </c>
      <c r="M211" s="6">
        <v>0.13888888888889001</v>
      </c>
      <c r="N211" s="5">
        <v>44194</v>
      </c>
      <c r="Q211" s="12">
        <f t="shared" si="9"/>
        <v>44192.125</v>
      </c>
      <c r="R211" s="12">
        <f t="shared" si="10"/>
        <v>44192.138888888891</v>
      </c>
      <c r="S211" s="13">
        <f t="shared" si="11"/>
        <v>1.3888888890505768E-2</v>
      </c>
    </row>
    <row r="212" spans="1:19" hidden="1" x14ac:dyDescent="0.2">
      <c r="A212" t="s">
        <v>598</v>
      </c>
      <c r="B212" t="s">
        <v>599</v>
      </c>
      <c r="C212" t="s">
        <v>3</v>
      </c>
      <c r="D212" s="11" t="s">
        <v>1266</v>
      </c>
      <c r="F212" s="5">
        <v>44194</v>
      </c>
      <c r="G212" t="s">
        <v>39</v>
      </c>
      <c r="H212" t="s">
        <v>5</v>
      </c>
      <c r="I212" s="5">
        <v>44191</v>
      </c>
      <c r="J212" s="5">
        <v>44191</v>
      </c>
      <c r="K212" s="6">
        <v>0.33333333333332998</v>
      </c>
      <c r="L212" s="5">
        <v>44191</v>
      </c>
      <c r="M212" s="6">
        <v>0.375</v>
      </c>
      <c r="N212" s="5">
        <v>44194</v>
      </c>
      <c r="Q212" s="12">
        <f t="shared" si="9"/>
        <v>44191.333333333336</v>
      </c>
      <c r="R212" s="12">
        <f t="shared" si="10"/>
        <v>44191.375</v>
      </c>
      <c r="S212" s="13">
        <f t="shared" si="11"/>
        <v>4.1666666664241347E-2</v>
      </c>
    </row>
    <row r="213" spans="1:19" x14ac:dyDescent="0.2">
      <c r="A213" t="s">
        <v>600</v>
      </c>
      <c r="B213" t="s">
        <v>601</v>
      </c>
      <c r="C213" t="s">
        <v>3</v>
      </c>
      <c r="E213" s="11" t="s">
        <v>1268</v>
      </c>
      <c r="F213" s="5">
        <v>44194</v>
      </c>
      <c r="G213" t="s">
        <v>602</v>
      </c>
      <c r="H213" t="s">
        <v>5</v>
      </c>
      <c r="I213" s="5">
        <v>44193</v>
      </c>
      <c r="J213" s="5">
        <v>44185</v>
      </c>
      <c r="K213" s="6">
        <v>8.3333333333329998E-2</v>
      </c>
      <c r="L213" s="5">
        <v>44185</v>
      </c>
      <c r="M213" s="6">
        <v>9.7222222222220003E-2</v>
      </c>
      <c r="N213" s="5">
        <v>44194</v>
      </c>
      <c r="Q213" s="12">
        <f t="shared" si="9"/>
        <v>44185.083333333336</v>
      </c>
      <c r="R213" s="12">
        <f t="shared" si="10"/>
        <v>44185.097222222219</v>
      </c>
      <c r="S213" s="13">
        <f t="shared" si="11"/>
        <v>1.3888888883229811E-2</v>
      </c>
    </row>
    <row r="214" spans="1:19" x14ac:dyDescent="0.2">
      <c r="A214" t="s">
        <v>603</v>
      </c>
      <c r="B214" t="s">
        <v>604</v>
      </c>
      <c r="C214" t="s">
        <v>3</v>
      </c>
      <c r="E214" s="11" t="s">
        <v>1268</v>
      </c>
      <c r="F214" s="5">
        <v>44194</v>
      </c>
      <c r="G214" t="s">
        <v>602</v>
      </c>
      <c r="H214" t="s">
        <v>5</v>
      </c>
      <c r="I214" s="5">
        <v>44193</v>
      </c>
      <c r="J214" s="5">
        <v>44185</v>
      </c>
      <c r="K214" s="6">
        <v>0.25</v>
      </c>
      <c r="L214" s="5">
        <v>44185</v>
      </c>
      <c r="M214" s="6">
        <v>0.26388888888889001</v>
      </c>
      <c r="N214" s="5">
        <v>44194</v>
      </c>
      <c r="Q214" s="12">
        <f t="shared" si="9"/>
        <v>44185.25</v>
      </c>
      <c r="R214" s="12">
        <f t="shared" si="10"/>
        <v>44185.263888888891</v>
      </c>
      <c r="S214" s="13">
        <f t="shared" si="11"/>
        <v>1.3888888890505768E-2</v>
      </c>
    </row>
    <row r="215" spans="1:19" hidden="1" x14ac:dyDescent="0.2">
      <c r="A215" t="s">
        <v>605</v>
      </c>
      <c r="B215" t="s">
        <v>606</v>
      </c>
      <c r="C215" t="s">
        <v>3</v>
      </c>
      <c r="F215" s="5">
        <v>44194</v>
      </c>
      <c r="G215" t="s">
        <v>563</v>
      </c>
      <c r="H215" t="s">
        <v>5</v>
      </c>
      <c r="I215" s="5">
        <v>44193</v>
      </c>
      <c r="J215" s="5">
        <v>44186</v>
      </c>
      <c r="K215" s="6">
        <v>0.54166666666666996</v>
      </c>
      <c r="L215" s="5">
        <v>44186</v>
      </c>
      <c r="M215" s="6">
        <v>0.54861111111111005</v>
      </c>
      <c r="N215" s="5">
        <v>44194</v>
      </c>
      <c r="Q215" s="12">
        <f t="shared" si="9"/>
        <v>44186.541666666664</v>
      </c>
      <c r="R215" s="12">
        <f t="shared" si="10"/>
        <v>44186.548611111109</v>
      </c>
      <c r="S215" s="13">
        <f t="shared" si="11"/>
        <v>6.9444444452528842E-3</v>
      </c>
    </row>
    <row r="216" spans="1:19" hidden="1" x14ac:dyDescent="0.2">
      <c r="A216" t="s">
        <v>607</v>
      </c>
      <c r="B216" t="s">
        <v>608</v>
      </c>
      <c r="C216" t="s">
        <v>3</v>
      </c>
      <c r="F216" s="5">
        <v>44194</v>
      </c>
      <c r="G216" t="s">
        <v>444</v>
      </c>
      <c r="H216" t="s">
        <v>5</v>
      </c>
      <c r="I216" s="5">
        <v>44193</v>
      </c>
      <c r="J216" s="5">
        <v>44186</v>
      </c>
      <c r="K216" s="6">
        <v>0.4375</v>
      </c>
      <c r="L216" s="5">
        <v>44186</v>
      </c>
      <c r="M216" s="6">
        <v>0.44444444444443998</v>
      </c>
      <c r="N216" s="5">
        <v>44194</v>
      </c>
      <c r="Q216" s="12">
        <f t="shared" si="9"/>
        <v>44186.4375</v>
      </c>
      <c r="R216" s="12">
        <f t="shared" si="10"/>
        <v>44186.444444444445</v>
      </c>
      <c r="S216" s="13">
        <f t="shared" si="11"/>
        <v>6.9444444452528842E-3</v>
      </c>
    </row>
    <row r="217" spans="1:19" x14ac:dyDescent="0.2">
      <c r="A217" t="s">
        <v>609</v>
      </c>
      <c r="B217" t="s">
        <v>610</v>
      </c>
      <c r="C217" t="s">
        <v>3</v>
      </c>
      <c r="E217" s="11" t="s">
        <v>1268</v>
      </c>
      <c r="F217" s="5">
        <v>44194</v>
      </c>
      <c r="G217" t="s">
        <v>611</v>
      </c>
      <c r="H217" t="s">
        <v>5</v>
      </c>
      <c r="I217" s="5">
        <v>44193</v>
      </c>
      <c r="J217" s="5">
        <v>44187</v>
      </c>
      <c r="K217" s="6">
        <v>0.38888888888889001</v>
      </c>
      <c r="L217" s="5">
        <v>44187</v>
      </c>
      <c r="M217" s="6">
        <v>0.39583333333332998</v>
      </c>
      <c r="N217" s="5">
        <v>44194</v>
      </c>
      <c r="Q217" s="12">
        <f t="shared" si="9"/>
        <v>44187.388888888891</v>
      </c>
      <c r="R217" s="12">
        <f t="shared" si="10"/>
        <v>44187.395833333336</v>
      </c>
      <c r="S217" s="13">
        <f t="shared" si="11"/>
        <v>6.9444444452528842E-3</v>
      </c>
    </row>
    <row r="218" spans="1:19" x14ac:dyDescent="0.2">
      <c r="A218" t="s">
        <v>612</v>
      </c>
      <c r="B218" t="s">
        <v>613</v>
      </c>
      <c r="C218" t="s">
        <v>3</v>
      </c>
      <c r="E218" s="11" t="s">
        <v>1268</v>
      </c>
      <c r="F218" s="5">
        <v>44195</v>
      </c>
      <c r="G218" t="s">
        <v>457</v>
      </c>
      <c r="H218" t="s">
        <v>5</v>
      </c>
      <c r="I218" s="5">
        <v>44194</v>
      </c>
      <c r="J218" s="5">
        <v>44187</v>
      </c>
      <c r="K218" s="6">
        <v>8.3333333333329998E-2</v>
      </c>
      <c r="L218" s="5">
        <v>44187</v>
      </c>
      <c r="M218" s="6">
        <v>9.7222222222220003E-2</v>
      </c>
      <c r="N218" s="5">
        <v>44195</v>
      </c>
      <c r="Q218" s="12">
        <f t="shared" si="9"/>
        <v>44187.083333333336</v>
      </c>
      <c r="R218" s="12">
        <f t="shared" si="10"/>
        <v>44187.097222222219</v>
      </c>
      <c r="S218" s="13">
        <f t="shared" si="11"/>
        <v>1.3888888883229811E-2</v>
      </c>
    </row>
    <row r="219" spans="1:19" x14ac:dyDescent="0.2">
      <c r="A219" t="s">
        <v>614</v>
      </c>
      <c r="B219" t="s">
        <v>615</v>
      </c>
      <c r="C219" t="s">
        <v>3</v>
      </c>
      <c r="E219" s="11" t="s">
        <v>1268</v>
      </c>
      <c r="F219" s="5">
        <v>44195</v>
      </c>
      <c r="G219" t="s">
        <v>611</v>
      </c>
      <c r="H219" t="s">
        <v>5</v>
      </c>
      <c r="I219" s="5">
        <v>44194</v>
      </c>
      <c r="J219" s="5">
        <v>44187</v>
      </c>
      <c r="K219" s="6">
        <v>0.30555555555556002</v>
      </c>
      <c r="L219" s="5">
        <v>44187</v>
      </c>
      <c r="M219" s="6">
        <v>0.31944444444443998</v>
      </c>
      <c r="N219" s="5">
        <v>44195</v>
      </c>
      <c r="Q219" s="12">
        <f t="shared" si="9"/>
        <v>44187.305555555555</v>
      </c>
      <c r="R219" s="12">
        <f t="shared" si="10"/>
        <v>44187.319444444445</v>
      </c>
      <c r="S219" s="13">
        <f t="shared" si="11"/>
        <v>1.3888888890505768E-2</v>
      </c>
    </row>
    <row r="220" spans="1:19" x14ac:dyDescent="0.2">
      <c r="A220" t="s">
        <v>616</v>
      </c>
      <c r="B220" t="s">
        <v>617</v>
      </c>
      <c r="C220" t="s">
        <v>3</v>
      </c>
      <c r="E220" s="11" t="s">
        <v>1268</v>
      </c>
      <c r="F220" s="5">
        <v>44195</v>
      </c>
      <c r="G220" t="s">
        <v>602</v>
      </c>
      <c r="H220" t="s">
        <v>5</v>
      </c>
      <c r="I220" s="5">
        <v>44191</v>
      </c>
      <c r="J220" s="5">
        <v>44191</v>
      </c>
      <c r="K220" s="6">
        <v>0.57638888888888995</v>
      </c>
      <c r="L220" s="5">
        <v>44191</v>
      </c>
      <c r="M220" s="6">
        <v>0.58333333333333004</v>
      </c>
      <c r="N220" s="5">
        <v>44195</v>
      </c>
      <c r="Q220" s="12">
        <f t="shared" si="9"/>
        <v>44191.576388888891</v>
      </c>
      <c r="R220" s="12">
        <f t="shared" si="10"/>
        <v>44191.583333333336</v>
      </c>
      <c r="S220" s="13">
        <f t="shared" si="11"/>
        <v>6.9444444452528842E-3</v>
      </c>
    </row>
    <row r="221" spans="1:19" hidden="1" x14ac:dyDescent="0.2">
      <c r="A221" t="s">
        <v>618</v>
      </c>
      <c r="B221" t="s">
        <v>619</v>
      </c>
      <c r="C221" t="s">
        <v>3</v>
      </c>
      <c r="D221" s="11" t="s">
        <v>1268</v>
      </c>
      <c r="F221" s="5">
        <v>44195</v>
      </c>
      <c r="G221" t="s">
        <v>620</v>
      </c>
      <c r="H221" t="s">
        <v>5</v>
      </c>
      <c r="I221" s="5">
        <v>44193</v>
      </c>
      <c r="J221" s="5">
        <v>44193</v>
      </c>
      <c r="K221" s="6">
        <v>0.95833333333333004</v>
      </c>
      <c r="L221" s="5">
        <v>44193</v>
      </c>
      <c r="M221" s="6">
        <v>0.99305555555556002</v>
      </c>
      <c r="N221" s="5">
        <v>44195</v>
      </c>
      <c r="Q221" s="12">
        <f t="shared" si="9"/>
        <v>44193.958333333336</v>
      </c>
      <c r="R221" s="12">
        <f t="shared" si="10"/>
        <v>44193.993055555555</v>
      </c>
      <c r="S221" s="13">
        <f t="shared" si="11"/>
        <v>3.4722222218988463E-2</v>
      </c>
    </row>
    <row r="222" spans="1:19" x14ac:dyDescent="0.2">
      <c r="A222" t="s">
        <v>621</v>
      </c>
      <c r="B222" t="s">
        <v>622</v>
      </c>
      <c r="C222" t="s">
        <v>3</v>
      </c>
      <c r="E222" s="11" t="s">
        <v>1268</v>
      </c>
      <c r="F222" s="5">
        <v>44195</v>
      </c>
      <c r="G222" t="s">
        <v>416</v>
      </c>
      <c r="H222" t="s">
        <v>5</v>
      </c>
      <c r="I222" s="5">
        <v>44194</v>
      </c>
      <c r="J222" s="5">
        <v>44194</v>
      </c>
      <c r="K222" s="6">
        <v>0.1875</v>
      </c>
      <c r="L222" s="5">
        <v>44194</v>
      </c>
      <c r="M222" s="6">
        <v>0.19444444444444001</v>
      </c>
      <c r="N222" s="5">
        <v>44195</v>
      </c>
      <c r="Q222" s="12">
        <f t="shared" si="9"/>
        <v>44194.1875</v>
      </c>
      <c r="R222" s="12">
        <f t="shared" si="10"/>
        <v>44194.194444444445</v>
      </c>
      <c r="S222" s="13">
        <f t="shared" si="11"/>
        <v>6.9444444452528842E-3</v>
      </c>
    </row>
    <row r="223" spans="1:19" hidden="1" x14ac:dyDescent="0.2">
      <c r="A223" t="s">
        <v>623</v>
      </c>
      <c r="B223" t="s">
        <v>624</v>
      </c>
      <c r="C223" t="s">
        <v>3</v>
      </c>
      <c r="F223" s="5">
        <v>44200</v>
      </c>
      <c r="G223" t="s">
        <v>625</v>
      </c>
      <c r="H223" t="s">
        <v>15</v>
      </c>
      <c r="I223" s="5">
        <v>44199</v>
      </c>
      <c r="J223" s="5">
        <v>44193</v>
      </c>
      <c r="K223" s="6">
        <v>0.5</v>
      </c>
      <c r="L223" s="5">
        <v>44193</v>
      </c>
      <c r="M223" s="6">
        <v>0.54166666666666996</v>
      </c>
      <c r="N223" s="5">
        <v>44200</v>
      </c>
      <c r="Q223" s="12">
        <f t="shared" si="9"/>
        <v>44193.5</v>
      </c>
      <c r="R223" s="12">
        <f t="shared" si="10"/>
        <v>44193.541666666664</v>
      </c>
      <c r="S223" s="13">
        <f t="shared" si="11"/>
        <v>4.1666666664241347E-2</v>
      </c>
    </row>
    <row r="224" spans="1:19" hidden="1" x14ac:dyDescent="0.2">
      <c r="A224" t="s">
        <v>626</v>
      </c>
      <c r="B224" t="s">
        <v>627</v>
      </c>
      <c r="C224" t="s">
        <v>3</v>
      </c>
      <c r="F224" s="5">
        <v>44206</v>
      </c>
      <c r="G224" t="s">
        <v>628</v>
      </c>
      <c r="H224" t="s">
        <v>5</v>
      </c>
      <c r="I224" s="5">
        <v>44201</v>
      </c>
      <c r="J224" s="5">
        <v>44202</v>
      </c>
      <c r="K224" s="6">
        <v>0.23611111111110999</v>
      </c>
      <c r="L224" s="5">
        <v>44202</v>
      </c>
      <c r="M224" s="6">
        <v>0.24305555555555999</v>
      </c>
      <c r="N224" s="5">
        <v>44206</v>
      </c>
      <c r="Q224" s="12">
        <f t="shared" si="9"/>
        <v>44202.236111111109</v>
      </c>
      <c r="R224" s="12">
        <f t="shared" si="10"/>
        <v>44202.243055555555</v>
      </c>
      <c r="S224" s="13">
        <f t="shared" si="11"/>
        <v>6.9444444452528842E-3</v>
      </c>
    </row>
    <row r="225" spans="1:19" x14ac:dyDescent="0.2">
      <c r="A225" t="s">
        <v>629</v>
      </c>
      <c r="B225" t="s">
        <v>630</v>
      </c>
      <c r="C225" t="s">
        <v>3</v>
      </c>
      <c r="E225" s="11" t="s">
        <v>1268</v>
      </c>
      <c r="F225" s="5">
        <v>44206</v>
      </c>
      <c r="G225" t="s">
        <v>631</v>
      </c>
      <c r="H225" t="s">
        <v>5</v>
      </c>
      <c r="I225" s="5">
        <v>44202</v>
      </c>
      <c r="J225" s="5">
        <v>44202</v>
      </c>
      <c r="K225" s="6">
        <v>4.1666666666670002E-2</v>
      </c>
      <c r="L225" s="5">
        <v>44202</v>
      </c>
      <c r="M225" s="6">
        <v>6.25E-2</v>
      </c>
      <c r="N225" s="5">
        <v>44206</v>
      </c>
      <c r="Q225" s="12">
        <f t="shared" si="9"/>
        <v>44202.041666666664</v>
      </c>
      <c r="R225" s="12">
        <f t="shared" si="10"/>
        <v>44202.0625</v>
      </c>
      <c r="S225" s="13">
        <f t="shared" si="11"/>
        <v>2.0833333335758653E-2</v>
      </c>
    </row>
    <row r="226" spans="1:19" x14ac:dyDescent="0.2">
      <c r="A226" t="s">
        <v>632</v>
      </c>
      <c r="B226" t="s">
        <v>633</v>
      </c>
      <c r="C226" t="s">
        <v>3</v>
      </c>
      <c r="E226" s="11" t="s">
        <v>1268</v>
      </c>
      <c r="F226" s="5">
        <v>44206</v>
      </c>
      <c r="G226" t="s">
        <v>634</v>
      </c>
      <c r="H226" t="s">
        <v>5</v>
      </c>
      <c r="I226" s="5">
        <v>44202</v>
      </c>
      <c r="J226" s="5">
        <v>44202</v>
      </c>
      <c r="K226" s="6">
        <v>0.23611111111110999</v>
      </c>
      <c r="L226" s="5">
        <v>44202</v>
      </c>
      <c r="M226" s="6">
        <v>0.24305555555555999</v>
      </c>
      <c r="N226" s="5">
        <v>44206</v>
      </c>
      <c r="Q226" s="12">
        <f t="shared" si="9"/>
        <v>44202.236111111109</v>
      </c>
      <c r="R226" s="12">
        <f t="shared" si="10"/>
        <v>44202.243055555555</v>
      </c>
      <c r="S226" s="13">
        <f t="shared" si="11"/>
        <v>6.9444444452528842E-3</v>
      </c>
    </row>
    <row r="227" spans="1:19" hidden="1" x14ac:dyDescent="0.2">
      <c r="A227" t="s">
        <v>0</v>
      </c>
      <c r="B227" t="s">
        <v>635</v>
      </c>
      <c r="C227" t="s">
        <v>82</v>
      </c>
      <c r="F227" s="5">
        <v>44208</v>
      </c>
      <c r="G227" t="s">
        <v>636</v>
      </c>
      <c r="H227" t="s">
        <v>5</v>
      </c>
      <c r="I227" s="5">
        <v>44235</v>
      </c>
      <c r="J227" s="5">
        <v>44208</v>
      </c>
      <c r="K227" s="6">
        <v>0.41666666666667002</v>
      </c>
      <c r="L227" s="5">
        <v>44218</v>
      </c>
      <c r="M227" s="6">
        <v>0.66666666666666996</v>
      </c>
      <c r="N227" s="5">
        <v>44208</v>
      </c>
      <c r="Q227" s="12">
        <f t="shared" si="9"/>
        <v>44208.416666666664</v>
      </c>
      <c r="R227" s="12">
        <f t="shared" si="10"/>
        <v>44218.666666666664</v>
      </c>
      <c r="S227" s="13">
        <f t="shared" si="11"/>
        <v>10.25</v>
      </c>
    </row>
    <row r="228" spans="1:19" hidden="1" x14ac:dyDescent="0.2">
      <c r="A228" t="s">
        <v>637</v>
      </c>
      <c r="B228" t="s">
        <v>638</v>
      </c>
      <c r="C228" t="s">
        <v>3</v>
      </c>
      <c r="F228" s="5">
        <v>44211</v>
      </c>
      <c r="G228" t="s">
        <v>342</v>
      </c>
      <c r="H228" t="s">
        <v>15</v>
      </c>
      <c r="I228" s="5">
        <v>44214</v>
      </c>
      <c r="J228" s="5">
        <v>44209</v>
      </c>
      <c r="K228" s="6">
        <v>4.1666666666670002E-2</v>
      </c>
      <c r="L228" s="5">
        <v>44209</v>
      </c>
      <c r="M228" s="6">
        <v>8.3333333333329998E-2</v>
      </c>
      <c r="N228" s="5">
        <v>44211</v>
      </c>
      <c r="Q228" s="12">
        <f t="shared" si="9"/>
        <v>44209.041666666664</v>
      </c>
      <c r="R228" s="12">
        <f t="shared" si="10"/>
        <v>44209.083333333336</v>
      </c>
      <c r="S228" s="13">
        <f t="shared" si="11"/>
        <v>4.1666666671517305E-2</v>
      </c>
    </row>
    <row r="229" spans="1:19" x14ac:dyDescent="0.2">
      <c r="A229" t="s">
        <v>639</v>
      </c>
      <c r="B229" t="s">
        <v>640</v>
      </c>
      <c r="C229" t="s">
        <v>3</v>
      </c>
      <c r="E229" s="11" t="s">
        <v>1268</v>
      </c>
      <c r="F229" s="5">
        <v>44215</v>
      </c>
      <c r="G229" t="s">
        <v>641</v>
      </c>
      <c r="H229" t="s">
        <v>5</v>
      </c>
      <c r="I229" s="5">
        <v>44222</v>
      </c>
      <c r="J229" s="5">
        <v>44208</v>
      </c>
      <c r="K229" s="6">
        <v>0.86111111111111005</v>
      </c>
      <c r="L229" s="5">
        <v>44208</v>
      </c>
      <c r="M229" s="6">
        <v>0.86805555555556002</v>
      </c>
      <c r="N229" s="5">
        <v>44215</v>
      </c>
      <c r="Q229" s="12">
        <f t="shared" si="9"/>
        <v>44208.861111111109</v>
      </c>
      <c r="R229" s="12">
        <f t="shared" si="10"/>
        <v>44208.868055555555</v>
      </c>
      <c r="S229" s="13">
        <f t="shared" si="11"/>
        <v>6.9444444452528842E-3</v>
      </c>
    </row>
    <row r="230" spans="1:19" x14ac:dyDescent="0.2">
      <c r="A230" t="s">
        <v>642</v>
      </c>
      <c r="B230" t="s">
        <v>643</v>
      </c>
      <c r="C230" t="s">
        <v>3</v>
      </c>
      <c r="E230" s="11" t="s">
        <v>1268</v>
      </c>
      <c r="F230" s="5">
        <v>44215</v>
      </c>
      <c r="G230" t="s">
        <v>611</v>
      </c>
      <c r="H230" t="s">
        <v>5</v>
      </c>
      <c r="I230" s="5">
        <v>44214</v>
      </c>
      <c r="J230" s="5">
        <v>44207</v>
      </c>
      <c r="K230" s="6">
        <v>0.70833333333333004</v>
      </c>
      <c r="L230" s="5">
        <v>44207</v>
      </c>
      <c r="M230" s="6">
        <v>0.77083333333333004</v>
      </c>
      <c r="N230" s="5">
        <v>44215</v>
      </c>
      <c r="Q230" s="12">
        <f t="shared" si="9"/>
        <v>44207.708333333336</v>
      </c>
      <c r="R230" s="12">
        <f t="shared" si="10"/>
        <v>44207.770833333336</v>
      </c>
      <c r="S230" s="13">
        <f t="shared" si="11"/>
        <v>6.25E-2</v>
      </c>
    </row>
    <row r="231" spans="1:19" x14ac:dyDescent="0.2">
      <c r="A231" t="s">
        <v>644</v>
      </c>
      <c r="B231" t="s">
        <v>645</v>
      </c>
      <c r="C231" t="s">
        <v>3</v>
      </c>
      <c r="E231" s="11" t="s">
        <v>1268</v>
      </c>
      <c r="F231" s="5">
        <v>44215</v>
      </c>
      <c r="G231" t="s">
        <v>646</v>
      </c>
      <c r="H231" t="s">
        <v>5</v>
      </c>
      <c r="I231" s="5">
        <v>44214</v>
      </c>
      <c r="J231" s="5">
        <v>44208</v>
      </c>
      <c r="K231" s="6">
        <v>0.41666666666667002</v>
      </c>
      <c r="L231" s="5">
        <v>44208</v>
      </c>
      <c r="M231" s="6">
        <v>0.42361111111110999</v>
      </c>
      <c r="N231" s="5">
        <v>44215</v>
      </c>
      <c r="Q231" s="12">
        <f t="shared" si="9"/>
        <v>44208.416666666664</v>
      </c>
      <c r="R231" s="12">
        <f t="shared" si="10"/>
        <v>44208.423611111109</v>
      </c>
      <c r="S231" s="13">
        <f t="shared" si="11"/>
        <v>6.9444444452528842E-3</v>
      </c>
    </row>
    <row r="232" spans="1:19" x14ac:dyDescent="0.2">
      <c r="A232" t="s">
        <v>647</v>
      </c>
      <c r="B232" t="s">
        <v>648</v>
      </c>
      <c r="C232" t="s">
        <v>3</v>
      </c>
      <c r="E232" s="11" t="s">
        <v>1268</v>
      </c>
      <c r="F232" s="5">
        <v>44222</v>
      </c>
      <c r="G232" t="s">
        <v>649</v>
      </c>
      <c r="H232" t="s">
        <v>5</v>
      </c>
      <c r="I232" s="5">
        <v>44221</v>
      </c>
      <c r="J232" s="5">
        <v>44201</v>
      </c>
      <c r="K232" s="6">
        <v>0.29861111111110999</v>
      </c>
      <c r="L232" s="5">
        <v>44201</v>
      </c>
      <c r="M232" s="6">
        <v>0.3125</v>
      </c>
      <c r="N232" s="5">
        <v>44222</v>
      </c>
      <c r="Q232" s="12">
        <f t="shared" si="9"/>
        <v>44201.298611111109</v>
      </c>
      <c r="R232" s="12">
        <f t="shared" si="10"/>
        <v>44201.3125</v>
      </c>
      <c r="S232" s="13">
        <f t="shared" si="11"/>
        <v>1.3888888890505768E-2</v>
      </c>
    </row>
    <row r="233" spans="1:19" x14ac:dyDescent="0.2">
      <c r="A233" t="s">
        <v>650</v>
      </c>
      <c r="B233" t="s">
        <v>651</v>
      </c>
      <c r="C233" t="s">
        <v>3</v>
      </c>
      <c r="E233" s="11" t="s">
        <v>1268</v>
      </c>
      <c r="F233" s="5">
        <v>44222</v>
      </c>
      <c r="G233" t="s">
        <v>652</v>
      </c>
      <c r="H233" t="s">
        <v>5</v>
      </c>
      <c r="I233" s="5">
        <v>44221</v>
      </c>
      <c r="J233" s="5">
        <v>44201</v>
      </c>
      <c r="K233" s="6">
        <v>0.66666666666666996</v>
      </c>
      <c r="L233" s="5">
        <v>44201</v>
      </c>
      <c r="M233" s="6">
        <v>0.68055555555556002</v>
      </c>
      <c r="N233" s="5">
        <v>44222</v>
      </c>
      <c r="Q233" s="12">
        <f t="shared" si="9"/>
        <v>44201.666666666664</v>
      </c>
      <c r="R233" s="12">
        <f t="shared" si="10"/>
        <v>44201.680555555555</v>
      </c>
      <c r="S233" s="13">
        <f t="shared" si="11"/>
        <v>1.3888888890505768E-2</v>
      </c>
    </row>
    <row r="234" spans="1:19" hidden="1" x14ac:dyDescent="0.2">
      <c r="A234" t="s">
        <v>653</v>
      </c>
      <c r="B234" t="s">
        <v>654</v>
      </c>
      <c r="C234" t="s">
        <v>3</v>
      </c>
      <c r="F234" s="5">
        <v>44222</v>
      </c>
      <c r="G234" t="s">
        <v>655</v>
      </c>
      <c r="H234" t="s">
        <v>5</v>
      </c>
      <c r="I234" s="5">
        <v>44221</v>
      </c>
      <c r="J234" s="5">
        <v>44202</v>
      </c>
      <c r="K234" s="6">
        <v>0.46527777777778001</v>
      </c>
      <c r="L234" s="5">
        <v>44202</v>
      </c>
      <c r="M234" s="6">
        <v>0.48611111111110999</v>
      </c>
      <c r="N234" s="5">
        <v>44222</v>
      </c>
      <c r="Q234" s="12">
        <f t="shared" si="9"/>
        <v>44202.465277777781</v>
      </c>
      <c r="R234" s="12">
        <f t="shared" si="10"/>
        <v>44202.486111111109</v>
      </c>
      <c r="S234" s="13">
        <f t="shared" si="11"/>
        <v>2.0833333328482695E-2</v>
      </c>
    </row>
    <row r="235" spans="1:19" hidden="1" x14ac:dyDescent="0.2">
      <c r="A235" t="s">
        <v>656</v>
      </c>
      <c r="B235" t="s">
        <v>657</v>
      </c>
      <c r="C235" t="s">
        <v>3</v>
      </c>
      <c r="F235" s="5">
        <v>44222</v>
      </c>
      <c r="G235" t="s">
        <v>205</v>
      </c>
      <c r="H235" t="s">
        <v>5</v>
      </c>
      <c r="I235" s="5">
        <v>44221</v>
      </c>
      <c r="J235" s="5">
        <v>44221</v>
      </c>
      <c r="K235" s="6">
        <v>0.41666666666667002</v>
      </c>
      <c r="L235" s="5">
        <v>44221</v>
      </c>
      <c r="M235" s="6">
        <v>0.43055555555556002</v>
      </c>
      <c r="N235" s="5">
        <v>44222</v>
      </c>
      <c r="Q235" s="12">
        <f t="shared" si="9"/>
        <v>44221.416666666664</v>
      </c>
      <c r="R235" s="12">
        <f t="shared" si="10"/>
        <v>44221.430555555555</v>
      </c>
      <c r="S235" s="13">
        <f t="shared" si="11"/>
        <v>1.3888888890505768E-2</v>
      </c>
    </row>
    <row r="236" spans="1:19" hidden="1" x14ac:dyDescent="0.2">
      <c r="A236" t="s">
        <v>658</v>
      </c>
      <c r="B236" t="s">
        <v>659</v>
      </c>
      <c r="C236" t="s">
        <v>3</v>
      </c>
      <c r="F236" s="5">
        <v>44222</v>
      </c>
      <c r="G236" t="s">
        <v>555</v>
      </c>
      <c r="H236" t="s">
        <v>5</v>
      </c>
      <c r="I236" s="5">
        <v>44218</v>
      </c>
      <c r="J236" s="5">
        <v>44218</v>
      </c>
      <c r="K236" s="6">
        <v>0.5625</v>
      </c>
      <c r="L236" s="5">
        <v>44219</v>
      </c>
      <c r="M236" s="6">
        <v>0.5625</v>
      </c>
      <c r="N236" s="5">
        <v>44222</v>
      </c>
      <c r="Q236" s="12">
        <f t="shared" si="9"/>
        <v>44218.5625</v>
      </c>
      <c r="R236" s="12">
        <f t="shared" si="10"/>
        <v>44219.5625</v>
      </c>
      <c r="S236" s="13">
        <f t="shared" si="11"/>
        <v>1</v>
      </c>
    </row>
    <row r="237" spans="1:19" hidden="1" x14ac:dyDescent="0.2">
      <c r="A237" t="s">
        <v>660</v>
      </c>
      <c r="B237" t="s">
        <v>661</v>
      </c>
      <c r="C237" t="s">
        <v>3</v>
      </c>
      <c r="D237" s="11" t="s">
        <v>1266</v>
      </c>
      <c r="F237" s="5">
        <v>44222</v>
      </c>
      <c r="G237" t="s">
        <v>39</v>
      </c>
      <c r="H237" t="s">
        <v>5</v>
      </c>
      <c r="I237" s="5">
        <v>44217</v>
      </c>
      <c r="J237" s="5">
        <v>44217</v>
      </c>
      <c r="K237" s="6">
        <v>0.375</v>
      </c>
      <c r="L237" s="5">
        <v>44217</v>
      </c>
      <c r="M237" s="6">
        <v>0.58333333333333004</v>
      </c>
      <c r="N237" s="5">
        <v>44222</v>
      </c>
      <c r="Q237" s="12">
        <f t="shared" si="9"/>
        <v>44217.375</v>
      </c>
      <c r="R237" s="12">
        <f t="shared" si="10"/>
        <v>44217.583333333336</v>
      </c>
      <c r="S237" s="13">
        <f t="shared" si="11"/>
        <v>0.20833333333575865</v>
      </c>
    </row>
    <row r="238" spans="1:19" hidden="1" x14ac:dyDescent="0.2">
      <c r="A238" t="s">
        <v>662</v>
      </c>
      <c r="B238" t="s">
        <v>663</v>
      </c>
      <c r="C238" t="s">
        <v>3</v>
      </c>
      <c r="D238" s="11" t="s">
        <v>1266</v>
      </c>
      <c r="F238" s="5">
        <v>44222</v>
      </c>
      <c r="G238" t="s">
        <v>39</v>
      </c>
      <c r="H238" t="s">
        <v>5</v>
      </c>
      <c r="I238" s="5">
        <v>44217</v>
      </c>
      <c r="J238" s="5">
        <v>44217</v>
      </c>
      <c r="K238" s="6">
        <v>0.375</v>
      </c>
      <c r="L238" s="5">
        <v>44217</v>
      </c>
      <c r="M238" s="6">
        <v>0.45833333333332998</v>
      </c>
      <c r="N238" s="5">
        <v>44222</v>
      </c>
      <c r="Q238" s="12">
        <f t="shared" si="9"/>
        <v>44217.375</v>
      </c>
      <c r="R238" s="12">
        <f t="shared" si="10"/>
        <v>44217.458333333336</v>
      </c>
      <c r="S238" s="13">
        <f t="shared" si="11"/>
        <v>8.3333333335758653E-2</v>
      </c>
    </row>
    <row r="239" spans="1:19" x14ac:dyDescent="0.2">
      <c r="A239" t="s">
        <v>664</v>
      </c>
      <c r="B239" t="s">
        <v>665</v>
      </c>
      <c r="C239" t="s">
        <v>3</v>
      </c>
      <c r="E239" s="11" t="s">
        <v>1268</v>
      </c>
      <c r="F239" s="5">
        <v>44223</v>
      </c>
      <c r="G239" t="s">
        <v>602</v>
      </c>
      <c r="H239" t="s">
        <v>5</v>
      </c>
      <c r="I239" s="5">
        <v>44217</v>
      </c>
      <c r="J239" s="5">
        <v>44217</v>
      </c>
      <c r="K239" s="6">
        <v>0.70138888888888995</v>
      </c>
      <c r="L239" s="5">
        <v>44217</v>
      </c>
      <c r="M239" s="6">
        <v>0.70833333333333004</v>
      </c>
      <c r="N239" s="5">
        <v>44223</v>
      </c>
      <c r="Q239" s="12">
        <f t="shared" si="9"/>
        <v>44217.701388888891</v>
      </c>
      <c r="R239" s="12">
        <f t="shared" si="10"/>
        <v>44217.708333333336</v>
      </c>
      <c r="S239" s="13">
        <f t="shared" si="11"/>
        <v>6.9444444452528842E-3</v>
      </c>
    </row>
    <row r="240" spans="1:19" hidden="1" x14ac:dyDescent="0.2">
      <c r="A240" t="s">
        <v>666</v>
      </c>
      <c r="B240" t="s">
        <v>667</v>
      </c>
      <c r="C240" t="s">
        <v>3</v>
      </c>
      <c r="F240" s="5">
        <v>44223</v>
      </c>
      <c r="G240" t="s">
        <v>555</v>
      </c>
      <c r="H240" t="s">
        <v>5</v>
      </c>
      <c r="I240" s="5">
        <v>44218</v>
      </c>
      <c r="J240" s="5">
        <v>44218</v>
      </c>
      <c r="K240" s="6">
        <v>0.4375</v>
      </c>
      <c r="L240" s="5">
        <v>44218</v>
      </c>
      <c r="M240" s="6">
        <v>0.45833333333332998</v>
      </c>
      <c r="N240" s="5">
        <v>44223</v>
      </c>
      <c r="Q240" s="12">
        <f t="shared" si="9"/>
        <v>44218.4375</v>
      </c>
      <c r="R240" s="12">
        <f t="shared" si="10"/>
        <v>44218.458333333336</v>
      </c>
      <c r="S240" s="13">
        <f t="shared" si="11"/>
        <v>2.0833333335758653E-2</v>
      </c>
    </row>
    <row r="241" spans="1:19" hidden="1" x14ac:dyDescent="0.2">
      <c r="A241" t="s">
        <v>668</v>
      </c>
      <c r="B241" t="s">
        <v>669</v>
      </c>
      <c r="C241" t="s">
        <v>3</v>
      </c>
      <c r="F241" s="5">
        <v>44225</v>
      </c>
      <c r="G241" t="s">
        <v>670</v>
      </c>
      <c r="H241" t="s">
        <v>5</v>
      </c>
      <c r="I241" s="5">
        <v>44225</v>
      </c>
      <c r="J241" s="5">
        <v>44225</v>
      </c>
      <c r="K241" s="6">
        <v>0.5</v>
      </c>
      <c r="L241" s="5">
        <v>44225</v>
      </c>
      <c r="M241" s="6">
        <v>0.60416666666666996</v>
      </c>
      <c r="N241" s="5">
        <v>44225</v>
      </c>
      <c r="Q241" s="12">
        <f t="shared" si="9"/>
        <v>44225.5</v>
      </c>
      <c r="R241" s="12">
        <f t="shared" si="10"/>
        <v>44225.604166666664</v>
      </c>
      <c r="S241" s="13">
        <f t="shared" si="11"/>
        <v>0.10416666666424135</v>
      </c>
    </row>
    <row r="242" spans="1:19" hidden="1" x14ac:dyDescent="0.2">
      <c r="A242" t="s">
        <v>671</v>
      </c>
      <c r="B242" t="s">
        <v>672</v>
      </c>
      <c r="C242" t="s">
        <v>3</v>
      </c>
      <c r="F242" s="5">
        <v>44226</v>
      </c>
      <c r="G242" t="s">
        <v>673</v>
      </c>
      <c r="H242" t="s">
        <v>15</v>
      </c>
      <c r="I242" s="5">
        <v>44225</v>
      </c>
      <c r="J242" s="5">
        <v>44225</v>
      </c>
      <c r="K242" s="6">
        <v>0.60416666666666996</v>
      </c>
      <c r="L242" s="5">
        <v>44225</v>
      </c>
      <c r="M242" s="6">
        <v>0.64583333333333004</v>
      </c>
      <c r="N242" s="5">
        <v>44226</v>
      </c>
      <c r="Q242" s="12">
        <f t="shared" si="9"/>
        <v>44225.604166666664</v>
      </c>
      <c r="R242" s="12">
        <f t="shared" si="10"/>
        <v>44225.645833333336</v>
      </c>
      <c r="S242" s="13">
        <f t="shared" si="11"/>
        <v>4.1666666671517305E-2</v>
      </c>
    </row>
    <row r="243" spans="1:19" hidden="1" x14ac:dyDescent="0.2">
      <c r="A243" t="s">
        <v>674</v>
      </c>
      <c r="B243" t="s">
        <v>675</v>
      </c>
      <c r="C243" t="s">
        <v>3</v>
      </c>
      <c r="F243" s="5">
        <v>44226</v>
      </c>
      <c r="G243" t="s">
        <v>676</v>
      </c>
      <c r="H243" t="s">
        <v>15</v>
      </c>
      <c r="I243" s="5">
        <v>44225</v>
      </c>
      <c r="J243" s="5">
        <v>44205</v>
      </c>
      <c r="K243" s="6">
        <v>0.875</v>
      </c>
      <c r="L243" s="5">
        <v>44205</v>
      </c>
      <c r="M243" s="6">
        <v>0.91666666666666996</v>
      </c>
      <c r="N243" s="5">
        <v>44226</v>
      </c>
      <c r="Q243" s="12">
        <f t="shared" si="9"/>
        <v>44205.875</v>
      </c>
      <c r="R243" s="12">
        <f t="shared" si="10"/>
        <v>44205.916666666664</v>
      </c>
      <c r="S243" s="13">
        <f t="shared" si="11"/>
        <v>4.1666666664241347E-2</v>
      </c>
    </row>
    <row r="244" spans="1:19" hidden="1" x14ac:dyDescent="0.2">
      <c r="A244" t="s">
        <v>677</v>
      </c>
      <c r="B244" t="s">
        <v>678</v>
      </c>
      <c r="C244" t="s">
        <v>3</v>
      </c>
      <c r="F244" s="5">
        <v>44230</v>
      </c>
      <c r="G244" t="s">
        <v>679</v>
      </c>
      <c r="H244" t="s">
        <v>5</v>
      </c>
      <c r="I244" s="5">
        <v>44225</v>
      </c>
      <c r="J244" s="5">
        <v>44225</v>
      </c>
      <c r="K244" s="6">
        <v>0.47916666666667002</v>
      </c>
      <c r="L244" s="5">
        <v>44225</v>
      </c>
      <c r="M244" s="6">
        <v>0.49305555555556002</v>
      </c>
      <c r="N244" s="5">
        <v>44230</v>
      </c>
      <c r="Q244" s="12">
        <f t="shared" si="9"/>
        <v>44225.479166666664</v>
      </c>
      <c r="R244" s="12">
        <f t="shared" si="10"/>
        <v>44225.493055555555</v>
      </c>
      <c r="S244" s="13">
        <f t="shared" si="11"/>
        <v>1.3888888890505768E-2</v>
      </c>
    </row>
    <row r="245" spans="1:19" hidden="1" x14ac:dyDescent="0.2">
      <c r="A245" t="s">
        <v>680</v>
      </c>
      <c r="B245" t="s">
        <v>681</v>
      </c>
      <c r="C245" t="s">
        <v>3</v>
      </c>
      <c r="D245" s="11" t="s">
        <v>1268</v>
      </c>
      <c r="F245" s="5">
        <v>44230</v>
      </c>
      <c r="G245" t="s">
        <v>682</v>
      </c>
      <c r="H245" t="s">
        <v>5</v>
      </c>
      <c r="I245" s="5">
        <v>44226</v>
      </c>
      <c r="J245" s="5">
        <v>44226</v>
      </c>
      <c r="K245" s="6">
        <v>0.54166666666666996</v>
      </c>
      <c r="L245" s="5">
        <v>44226</v>
      </c>
      <c r="M245" s="6">
        <v>0.5625</v>
      </c>
      <c r="N245" s="5">
        <v>44230</v>
      </c>
      <c r="Q245" s="12">
        <f t="shared" si="9"/>
        <v>44226.541666666664</v>
      </c>
      <c r="R245" s="12">
        <f t="shared" si="10"/>
        <v>44226.5625</v>
      </c>
      <c r="S245" s="13">
        <f t="shared" si="11"/>
        <v>2.0833333335758653E-2</v>
      </c>
    </row>
    <row r="246" spans="1:19" hidden="1" x14ac:dyDescent="0.2">
      <c r="A246" t="s">
        <v>683</v>
      </c>
      <c r="B246" t="s">
        <v>684</v>
      </c>
      <c r="C246" t="s">
        <v>3</v>
      </c>
      <c r="F246" s="5">
        <v>44230</v>
      </c>
      <c r="G246" t="s">
        <v>685</v>
      </c>
      <c r="H246" t="s">
        <v>5</v>
      </c>
      <c r="I246" s="5">
        <v>44229</v>
      </c>
      <c r="J246" s="5">
        <v>44223</v>
      </c>
      <c r="K246" s="6">
        <v>0.52083333333333004</v>
      </c>
      <c r="L246" s="5">
        <v>44223</v>
      </c>
      <c r="M246" s="6">
        <v>0.54166666666666996</v>
      </c>
      <c r="N246" s="5">
        <v>44230</v>
      </c>
      <c r="Q246" s="12">
        <f t="shared" si="9"/>
        <v>44223.520833333336</v>
      </c>
      <c r="R246" s="12">
        <f t="shared" si="10"/>
        <v>44223.541666666664</v>
      </c>
      <c r="S246" s="13">
        <f t="shared" si="11"/>
        <v>2.0833333328482695E-2</v>
      </c>
    </row>
    <row r="247" spans="1:19" hidden="1" x14ac:dyDescent="0.2">
      <c r="A247" t="s">
        <v>686</v>
      </c>
      <c r="B247" t="s">
        <v>687</v>
      </c>
      <c r="C247" t="s">
        <v>3</v>
      </c>
      <c r="F247" s="5">
        <v>44231</v>
      </c>
      <c r="G247" t="s">
        <v>205</v>
      </c>
      <c r="H247" t="s">
        <v>5</v>
      </c>
      <c r="I247" s="5">
        <v>44230</v>
      </c>
      <c r="J247" s="5">
        <v>44219</v>
      </c>
      <c r="K247" s="6">
        <v>0.98611111111111005</v>
      </c>
      <c r="L247" s="5">
        <v>44220</v>
      </c>
      <c r="M247" s="6">
        <v>0</v>
      </c>
      <c r="N247" s="5">
        <v>44231</v>
      </c>
      <c r="Q247" s="12">
        <f t="shared" si="9"/>
        <v>44219.986111111109</v>
      </c>
      <c r="R247" s="12">
        <f t="shared" si="10"/>
        <v>44220</v>
      </c>
      <c r="S247" s="13">
        <f t="shared" si="11"/>
        <v>1.3888888890505768E-2</v>
      </c>
    </row>
    <row r="248" spans="1:19" x14ac:dyDescent="0.2">
      <c r="A248" t="s">
        <v>688</v>
      </c>
      <c r="B248" t="s">
        <v>689</v>
      </c>
      <c r="C248" t="s">
        <v>3</v>
      </c>
      <c r="E248" s="11" t="s">
        <v>1268</v>
      </c>
      <c r="F248" s="5">
        <v>44233</v>
      </c>
      <c r="G248" t="s">
        <v>690</v>
      </c>
      <c r="H248" t="s">
        <v>5</v>
      </c>
      <c r="I248" s="5">
        <v>44233</v>
      </c>
      <c r="J248" s="5">
        <v>44233</v>
      </c>
      <c r="K248" s="6">
        <v>6.25E-2</v>
      </c>
      <c r="L248" s="5">
        <v>44233</v>
      </c>
      <c r="M248" s="6">
        <v>7.6388888888890005E-2</v>
      </c>
      <c r="N248" s="5">
        <v>44233</v>
      </c>
      <c r="Q248" s="12">
        <f t="shared" si="9"/>
        <v>44233.0625</v>
      </c>
      <c r="R248" s="12">
        <f t="shared" si="10"/>
        <v>44233.076388888891</v>
      </c>
      <c r="S248" s="13">
        <f t="shared" si="11"/>
        <v>1.3888888890505768E-2</v>
      </c>
    </row>
    <row r="249" spans="1:19" x14ac:dyDescent="0.2">
      <c r="A249" t="s">
        <v>691</v>
      </c>
      <c r="B249" t="s">
        <v>692</v>
      </c>
      <c r="C249" t="s">
        <v>3</v>
      </c>
      <c r="E249" s="11" t="s">
        <v>1268</v>
      </c>
      <c r="F249" s="5">
        <v>44235</v>
      </c>
      <c r="G249" t="s">
        <v>693</v>
      </c>
      <c r="H249" t="s">
        <v>5</v>
      </c>
      <c r="I249" s="5">
        <v>44234</v>
      </c>
      <c r="J249" s="5">
        <v>44200</v>
      </c>
      <c r="K249" s="6">
        <v>0.66666666666666996</v>
      </c>
      <c r="L249" s="5">
        <v>44200</v>
      </c>
      <c r="M249" s="6">
        <v>0.6875</v>
      </c>
      <c r="N249" s="5">
        <v>44235</v>
      </c>
      <c r="Q249" s="12">
        <f t="shared" si="9"/>
        <v>44200.666666666664</v>
      </c>
      <c r="R249" s="12">
        <f t="shared" si="10"/>
        <v>44200.6875</v>
      </c>
      <c r="S249" s="13">
        <f t="shared" si="11"/>
        <v>2.0833333335758653E-2</v>
      </c>
    </row>
    <row r="250" spans="1:19" hidden="1" x14ac:dyDescent="0.2">
      <c r="A250" t="s">
        <v>694</v>
      </c>
      <c r="B250" t="s">
        <v>695</v>
      </c>
      <c r="C250" t="s">
        <v>3</v>
      </c>
      <c r="F250" s="5">
        <v>44235</v>
      </c>
      <c r="G250" t="s">
        <v>696</v>
      </c>
      <c r="H250" t="s">
        <v>5</v>
      </c>
      <c r="I250" s="5">
        <v>44234</v>
      </c>
      <c r="J250" s="5">
        <v>44208</v>
      </c>
      <c r="K250" s="6">
        <v>4.1666666666670002E-2</v>
      </c>
      <c r="L250" s="5">
        <v>44208</v>
      </c>
      <c r="M250" s="6">
        <v>8.3333333333329998E-2</v>
      </c>
      <c r="N250" s="5">
        <v>44235</v>
      </c>
      <c r="Q250" s="12">
        <f t="shared" si="9"/>
        <v>44208.041666666664</v>
      </c>
      <c r="R250" s="12">
        <f t="shared" si="10"/>
        <v>44208.083333333336</v>
      </c>
      <c r="S250" s="13">
        <f t="shared" si="11"/>
        <v>4.1666666671517305E-2</v>
      </c>
    </row>
    <row r="251" spans="1:19" hidden="1" x14ac:dyDescent="0.2">
      <c r="A251" t="s">
        <v>697</v>
      </c>
      <c r="B251" t="s">
        <v>698</v>
      </c>
      <c r="C251" t="s">
        <v>3</v>
      </c>
      <c r="F251" s="5">
        <v>44235</v>
      </c>
      <c r="G251" t="s">
        <v>699</v>
      </c>
      <c r="H251" t="s">
        <v>5</v>
      </c>
      <c r="I251" s="5">
        <v>44234</v>
      </c>
      <c r="J251" s="5">
        <v>44208</v>
      </c>
      <c r="K251" s="6">
        <v>8.3333333333329998E-2</v>
      </c>
      <c r="L251" s="5">
        <v>44208</v>
      </c>
      <c r="M251" s="6">
        <v>9.7222222222220003E-2</v>
      </c>
      <c r="N251" s="5">
        <v>44235</v>
      </c>
      <c r="Q251" s="12">
        <f t="shared" si="9"/>
        <v>44208.083333333336</v>
      </c>
      <c r="R251" s="12">
        <f t="shared" si="10"/>
        <v>44208.097222222219</v>
      </c>
      <c r="S251" s="13">
        <f t="shared" si="11"/>
        <v>1.3888888883229811E-2</v>
      </c>
    </row>
    <row r="252" spans="1:19" hidden="1" x14ac:dyDescent="0.2">
      <c r="A252" t="s">
        <v>700</v>
      </c>
      <c r="B252" t="s">
        <v>701</v>
      </c>
      <c r="C252" t="s">
        <v>3</v>
      </c>
      <c r="F252" s="5">
        <v>44235</v>
      </c>
      <c r="G252" t="s">
        <v>702</v>
      </c>
      <c r="H252" t="s">
        <v>5</v>
      </c>
      <c r="I252" s="5">
        <v>44234</v>
      </c>
      <c r="J252" s="5">
        <v>44218</v>
      </c>
      <c r="K252" s="6">
        <v>0.54166666666666996</v>
      </c>
      <c r="L252" s="5">
        <v>44218</v>
      </c>
      <c r="M252" s="6">
        <v>0.55555555555556002</v>
      </c>
      <c r="N252" s="5">
        <v>44235</v>
      </c>
      <c r="Q252" s="12">
        <f t="shared" si="9"/>
        <v>44218.541666666664</v>
      </c>
      <c r="R252" s="12">
        <f t="shared" si="10"/>
        <v>44218.555555555555</v>
      </c>
      <c r="S252" s="13">
        <f t="shared" si="11"/>
        <v>1.3888888890505768E-2</v>
      </c>
    </row>
    <row r="253" spans="1:19" hidden="1" x14ac:dyDescent="0.2">
      <c r="A253" t="s">
        <v>703</v>
      </c>
      <c r="B253" t="s">
        <v>704</v>
      </c>
      <c r="C253" t="s">
        <v>3</v>
      </c>
      <c r="D253" s="11" t="s">
        <v>1266</v>
      </c>
      <c r="F253" s="5">
        <v>44238</v>
      </c>
      <c r="G253" t="s">
        <v>39</v>
      </c>
      <c r="H253" t="s">
        <v>5</v>
      </c>
      <c r="I253" s="5">
        <v>44237</v>
      </c>
      <c r="J253" s="5">
        <v>44237</v>
      </c>
      <c r="K253" s="6">
        <v>0.375</v>
      </c>
      <c r="L253" s="5">
        <v>44237</v>
      </c>
      <c r="M253" s="6">
        <v>0.4375</v>
      </c>
      <c r="N253" s="5">
        <v>44238</v>
      </c>
      <c r="Q253" s="12">
        <f t="shared" si="9"/>
        <v>44237.375</v>
      </c>
      <c r="R253" s="12">
        <f t="shared" si="10"/>
        <v>44237.4375</v>
      </c>
      <c r="S253" s="13">
        <f t="shared" si="11"/>
        <v>6.25E-2</v>
      </c>
    </row>
    <row r="254" spans="1:19" x14ac:dyDescent="0.2">
      <c r="A254" t="s">
        <v>705</v>
      </c>
      <c r="B254" t="s">
        <v>706</v>
      </c>
      <c r="C254" t="s">
        <v>3</v>
      </c>
      <c r="E254" s="11" t="s">
        <v>1268</v>
      </c>
      <c r="F254" s="5">
        <v>44238</v>
      </c>
      <c r="G254" t="s">
        <v>707</v>
      </c>
      <c r="H254" t="s">
        <v>5</v>
      </c>
      <c r="I254" s="5">
        <v>44237</v>
      </c>
      <c r="J254" s="5">
        <v>44237</v>
      </c>
      <c r="K254" s="6">
        <v>0.5</v>
      </c>
      <c r="L254" s="5">
        <v>44237</v>
      </c>
      <c r="M254" s="6">
        <v>0.51388888888888995</v>
      </c>
      <c r="N254" s="5">
        <v>44238</v>
      </c>
      <c r="Q254" s="12">
        <f t="shared" si="9"/>
        <v>44237.5</v>
      </c>
      <c r="R254" s="12">
        <f t="shared" si="10"/>
        <v>44237.513888888891</v>
      </c>
      <c r="S254" s="13">
        <f t="shared" si="11"/>
        <v>1.3888888890505768E-2</v>
      </c>
    </row>
    <row r="255" spans="1:19" hidden="1" x14ac:dyDescent="0.2">
      <c r="A255" t="s">
        <v>708</v>
      </c>
      <c r="B255" t="s">
        <v>709</v>
      </c>
      <c r="C255" t="s">
        <v>3</v>
      </c>
      <c r="F255" s="5">
        <v>44238</v>
      </c>
      <c r="G255" t="s">
        <v>602</v>
      </c>
      <c r="H255" t="s">
        <v>5</v>
      </c>
      <c r="I255" s="5">
        <v>44238</v>
      </c>
      <c r="J255" s="5">
        <v>44237</v>
      </c>
      <c r="K255" s="6">
        <v>0.93055555555556002</v>
      </c>
      <c r="L255" s="5">
        <v>44237</v>
      </c>
      <c r="M255" s="6">
        <v>0.9375</v>
      </c>
      <c r="N255" s="5">
        <v>44238</v>
      </c>
      <c r="Q255" s="12">
        <f t="shared" si="9"/>
        <v>44237.930555555555</v>
      </c>
      <c r="R255" s="12">
        <f t="shared" si="10"/>
        <v>44237.9375</v>
      </c>
      <c r="S255" s="13">
        <f t="shared" si="11"/>
        <v>6.9444444452528842E-3</v>
      </c>
    </row>
    <row r="256" spans="1:19" hidden="1" x14ac:dyDescent="0.2">
      <c r="A256" t="s">
        <v>710</v>
      </c>
      <c r="B256" t="s">
        <v>711</v>
      </c>
      <c r="C256" t="s">
        <v>3</v>
      </c>
      <c r="F256" s="5">
        <v>44242</v>
      </c>
      <c r="G256" t="s">
        <v>712</v>
      </c>
      <c r="H256" t="s">
        <v>5</v>
      </c>
      <c r="I256" s="5">
        <v>44240</v>
      </c>
      <c r="J256" s="5">
        <v>44240</v>
      </c>
      <c r="K256" s="6">
        <v>0.66666666666666996</v>
      </c>
      <c r="L256" s="5">
        <v>44240</v>
      </c>
      <c r="M256" s="6">
        <v>0.67361111111111005</v>
      </c>
      <c r="N256" s="5">
        <v>44242</v>
      </c>
      <c r="Q256" s="12">
        <f t="shared" si="9"/>
        <v>44240.666666666664</v>
      </c>
      <c r="R256" s="12">
        <f t="shared" si="10"/>
        <v>44240.673611111109</v>
      </c>
      <c r="S256" s="13">
        <f t="shared" si="11"/>
        <v>6.9444444452528842E-3</v>
      </c>
    </row>
    <row r="257" spans="1:19" hidden="1" x14ac:dyDescent="0.2">
      <c r="A257" t="s">
        <v>713</v>
      </c>
      <c r="B257" t="s">
        <v>714</v>
      </c>
      <c r="C257" t="s">
        <v>3</v>
      </c>
      <c r="F257" s="5">
        <v>44253</v>
      </c>
      <c r="G257" t="s">
        <v>715</v>
      </c>
      <c r="H257" t="s">
        <v>5</v>
      </c>
      <c r="I257" s="5">
        <v>44259</v>
      </c>
      <c r="J257" s="5">
        <v>44252</v>
      </c>
      <c r="K257" s="6">
        <v>0.29166666666667002</v>
      </c>
      <c r="L257" s="5">
        <v>44252</v>
      </c>
      <c r="M257" s="6">
        <v>0.58333333333333004</v>
      </c>
      <c r="N257" s="5">
        <v>44253</v>
      </c>
      <c r="Q257" s="12">
        <f t="shared" si="9"/>
        <v>44252.291666666664</v>
      </c>
      <c r="R257" s="12">
        <f t="shared" si="10"/>
        <v>44252.583333333336</v>
      </c>
      <c r="S257" s="13">
        <f t="shared" si="11"/>
        <v>0.29166666667151731</v>
      </c>
    </row>
    <row r="258" spans="1:19" hidden="1" x14ac:dyDescent="0.2">
      <c r="A258" t="s">
        <v>716</v>
      </c>
      <c r="B258" t="s">
        <v>717</v>
      </c>
      <c r="C258" t="s">
        <v>3</v>
      </c>
      <c r="F258" s="5">
        <v>44256</v>
      </c>
      <c r="G258" t="s">
        <v>718</v>
      </c>
      <c r="H258" t="s">
        <v>5</v>
      </c>
      <c r="I258" s="5">
        <v>44252</v>
      </c>
      <c r="J258" s="5">
        <v>44252</v>
      </c>
      <c r="K258" s="6">
        <v>0.3125</v>
      </c>
      <c r="L258" s="5">
        <v>44252</v>
      </c>
      <c r="M258" s="6">
        <v>0.33333333333332998</v>
      </c>
      <c r="N258" s="5">
        <v>44256</v>
      </c>
      <c r="Q258" s="12">
        <f t="shared" si="9"/>
        <v>44252.3125</v>
      </c>
      <c r="R258" s="12">
        <f t="shared" si="10"/>
        <v>44252.333333333336</v>
      </c>
      <c r="S258" s="13">
        <f t="shared" si="11"/>
        <v>2.0833333335758653E-2</v>
      </c>
    </row>
    <row r="259" spans="1:19" x14ac:dyDescent="0.2">
      <c r="A259" t="s">
        <v>719</v>
      </c>
      <c r="B259" t="s">
        <v>720</v>
      </c>
      <c r="C259" t="s">
        <v>3</v>
      </c>
      <c r="E259" s="11" t="s">
        <v>1268</v>
      </c>
      <c r="F259" s="5">
        <v>44264</v>
      </c>
      <c r="G259" t="s">
        <v>210</v>
      </c>
      <c r="H259" t="s">
        <v>5</v>
      </c>
      <c r="I259" s="5">
        <v>44263</v>
      </c>
      <c r="J259" s="5">
        <v>44263</v>
      </c>
      <c r="K259" s="6">
        <v>0.33333333333332998</v>
      </c>
      <c r="L259" s="5">
        <v>44263</v>
      </c>
      <c r="M259" s="6">
        <v>0.39583333333332998</v>
      </c>
      <c r="N259" s="5">
        <v>44264</v>
      </c>
      <c r="Q259" s="12">
        <f t="shared" si="9"/>
        <v>44263.333333333336</v>
      </c>
      <c r="R259" s="12">
        <f t="shared" si="10"/>
        <v>44263.395833333336</v>
      </c>
      <c r="S259" s="13">
        <f t="shared" si="11"/>
        <v>6.25E-2</v>
      </c>
    </row>
    <row r="260" spans="1:19" hidden="1" x14ac:dyDescent="0.2">
      <c r="A260" t="s">
        <v>721</v>
      </c>
      <c r="B260" t="s">
        <v>722</v>
      </c>
      <c r="C260" t="s">
        <v>3</v>
      </c>
      <c r="F260" s="5">
        <v>44265</v>
      </c>
      <c r="G260" t="s">
        <v>723</v>
      </c>
      <c r="H260" t="s">
        <v>5</v>
      </c>
      <c r="I260" s="5">
        <v>44264</v>
      </c>
      <c r="J260" s="5">
        <v>44264</v>
      </c>
      <c r="K260" s="6">
        <v>0.66666666666666996</v>
      </c>
      <c r="L260" s="5">
        <v>44264</v>
      </c>
      <c r="M260" s="6">
        <v>0.70833333333333004</v>
      </c>
      <c r="N260" s="5">
        <v>44265</v>
      </c>
      <c r="Q260" s="12">
        <f t="shared" ref="Q260:Q323" si="12">J260+K260</f>
        <v>44264.666666666664</v>
      </c>
      <c r="R260" s="12">
        <f t="shared" ref="R260:R323" si="13">L260+M260</f>
        <v>44264.708333333336</v>
      </c>
      <c r="S260" s="13">
        <f t="shared" ref="S260:S323" si="14">R260-Q260</f>
        <v>4.1666666671517305E-2</v>
      </c>
    </row>
    <row r="261" spans="1:19" x14ac:dyDescent="0.2">
      <c r="A261" t="s">
        <v>724</v>
      </c>
      <c r="B261" t="s">
        <v>725</v>
      </c>
      <c r="C261" t="s">
        <v>3</v>
      </c>
      <c r="E261" s="11" t="s">
        <v>1268</v>
      </c>
      <c r="F261" s="5">
        <v>44267</v>
      </c>
      <c r="G261" t="s">
        <v>611</v>
      </c>
      <c r="H261" t="s">
        <v>5</v>
      </c>
      <c r="I261" s="5">
        <v>44266</v>
      </c>
      <c r="J261" s="5">
        <v>44266</v>
      </c>
      <c r="K261" s="6">
        <v>0.625</v>
      </c>
      <c r="L261" s="5">
        <v>44266</v>
      </c>
      <c r="M261" s="6">
        <v>0.63541666666666996</v>
      </c>
      <c r="N261" s="5">
        <v>44267</v>
      </c>
      <c r="Q261" s="12">
        <f t="shared" si="12"/>
        <v>44266.625</v>
      </c>
      <c r="R261" s="12">
        <f t="shared" si="13"/>
        <v>44266.635416666664</v>
      </c>
      <c r="S261" s="13">
        <f t="shared" si="14"/>
        <v>1.0416666664241347E-2</v>
      </c>
    </row>
    <row r="262" spans="1:19" hidden="1" x14ac:dyDescent="0.2">
      <c r="A262" t="s">
        <v>726</v>
      </c>
      <c r="B262" t="s">
        <v>727</v>
      </c>
      <c r="C262" t="s">
        <v>3</v>
      </c>
      <c r="F262" s="5">
        <v>44274</v>
      </c>
      <c r="G262" t="s">
        <v>728</v>
      </c>
      <c r="H262" t="s">
        <v>5</v>
      </c>
      <c r="I262" s="5">
        <v>44306</v>
      </c>
      <c r="J262" s="5">
        <v>44298</v>
      </c>
      <c r="K262" s="6">
        <v>0.45833333333332998</v>
      </c>
      <c r="L262" s="5">
        <v>44298</v>
      </c>
      <c r="M262" s="6">
        <v>0.72916666666666996</v>
      </c>
      <c r="N262" s="5">
        <v>44277</v>
      </c>
      <c r="Q262" s="12">
        <f t="shared" si="12"/>
        <v>44298.458333333336</v>
      </c>
      <c r="R262" s="12">
        <f t="shared" si="13"/>
        <v>44298.729166666664</v>
      </c>
      <c r="S262" s="13">
        <f t="shared" si="14"/>
        <v>0.27083333332848269</v>
      </c>
    </row>
    <row r="263" spans="1:19" hidden="1" x14ac:dyDescent="0.2">
      <c r="A263" t="s">
        <v>729</v>
      </c>
      <c r="B263" t="s">
        <v>730</v>
      </c>
      <c r="C263" t="s">
        <v>3</v>
      </c>
      <c r="F263" s="5">
        <v>44278</v>
      </c>
      <c r="G263" t="s">
        <v>731</v>
      </c>
      <c r="H263" t="s">
        <v>5</v>
      </c>
      <c r="I263" s="5">
        <v>44277</v>
      </c>
      <c r="J263" s="5">
        <v>44277</v>
      </c>
      <c r="K263" s="6">
        <v>0.66666666666666996</v>
      </c>
      <c r="L263" s="5">
        <v>44277</v>
      </c>
      <c r="M263" s="6">
        <v>0.72916666666666996</v>
      </c>
      <c r="N263" s="5">
        <v>44278</v>
      </c>
      <c r="Q263" s="12">
        <f t="shared" si="12"/>
        <v>44277.666666666664</v>
      </c>
      <c r="R263" s="12">
        <f t="shared" si="13"/>
        <v>44277.729166666664</v>
      </c>
      <c r="S263" s="13">
        <f t="shared" si="14"/>
        <v>6.25E-2</v>
      </c>
    </row>
    <row r="264" spans="1:19" hidden="1" x14ac:dyDescent="0.2">
      <c r="A264" t="s">
        <v>732</v>
      </c>
      <c r="B264" t="s">
        <v>733</v>
      </c>
      <c r="C264" t="s">
        <v>3</v>
      </c>
      <c r="D264" s="11" t="s">
        <v>1266</v>
      </c>
      <c r="F264" s="5">
        <v>44278</v>
      </c>
      <c r="G264" t="s">
        <v>39</v>
      </c>
      <c r="H264" t="s">
        <v>5</v>
      </c>
      <c r="I264" s="5">
        <v>44277</v>
      </c>
      <c r="J264" s="5">
        <v>44277</v>
      </c>
      <c r="K264" s="6">
        <v>0.72916666666666996</v>
      </c>
      <c r="L264" s="5">
        <v>44277</v>
      </c>
      <c r="M264" s="6">
        <v>0.75</v>
      </c>
      <c r="N264" s="5">
        <v>44278</v>
      </c>
      <c r="Q264" s="12">
        <f t="shared" si="12"/>
        <v>44277.729166666664</v>
      </c>
      <c r="R264" s="12">
        <f t="shared" si="13"/>
        <v>44277.75</v>
      </c>
      <c r="S264" s="13">
        <f t="shared" si="14"/>
        <v>2.0833333335758653E-2</v>
      </c>
    </row>
    <row r="265" spans="1:19" x14ac:dyDescent="0.2">
      <c r="A265" t="s">
        <v>734</v>
      </c>
      <c r="B265" t="s">
        <v>735</v>
      </c>
      <c r="C265" t="s">
        <v>3</v>
      </c>
      <c r="E265" s="11" t="s">
        <v>1268</v>
      </c>
      <c r="F265" s="5">
        <v>44279</v>
      </c>
      <c r="G265" t="s">
        <v>602</v>
      </c>
      <c r="H265" t="s">
        <v>5</v>
      </c>
      <c r="I265" s="5">
        <v>44278</v>
      </c>
      <c r="J265" s="5">
        <v>44277</v>
      </c>
      <c r="K265" s="6">
        <v>0.83333333333333004</v>
      </c>
      <c r="L265" s="5">
        <v>44277</v>
      </c>
      <c r="M265" s="6">
        <v>0.84027777777778001</v>
      </c>
      <c r="N265" s="5">
        <v>44279</v>
      </c>
      <c r="Q265" s="12">
        <f t="shared" si="12"/>
        <v>44277.833333333336</v>
      </c>
      <c r="R265" s="12">
        <f t="shared" si="13"/>
        <v>44277.840277777781</v>
      </c>
      <c r="S265" s="13">
        <f t="shared" si="14"/>
        <v>6.9444444452528842E-3</v>
      </c>
    </row>
    <row r="266" spans="1:19" x14ac:dyDescent="0.2">
      <c r="A266" t="s">
        <v>736</v>
      </c>
      <c r="B266" t="s">
        <v>737</v>
      </c>
      <c r="C266" t="s">
        <v>3</v>
      </c>
      <c r="E266" s="11" t="s">
        <v>1268</v>
      </c>
      <c r="F266" s="5">
        <v>44279</v>
      </c>
      <c r="G266" t="s">
        <v>602</v>
      </c>
      <c r="H266" t="s">
        <v>5</v>
      </c>
      <c r="I266" s="5">
        <v>44278</v>
      </c>
      <c r="J266" s="5">
        <v>44277</v>
      </c>
      <c r="K266" s="6">
        <v>0.91666666666666996</v>
      </c>
      <c r="L266" s="5">
        <v>44277</v>
      </c>
      <c r="M266" s="6">
        <v>0.92361111111111005</v>
      </c>
      <c r="N266" s="5">
        <v>44279</v>
      </c>
      <c r="Q266" s="12">
        <f t="shared" si="12"/>
        <v>44277.916666666664</v>
      </c>
      <c r="R266" s="12">
        <f t="shared" si="13"/>
        <v>44277.923611111109</v>
      </c>
      <c r="S266" s="13">
        <f t="shared" si="14"/>
        <v>6.9444444452528842E-3</v>
      </c>
    </row>
    <row r="267" spans="1:19" x14ac:dyDescent="0.2">
      <c r="A267" t="s">
        <v>738</v>
      </c>
      <c r="B267" t="s">
        <v>739</v>
      </c>
      <c r="C267" t="s">
        <v>3</v>
      </c>
      <c r="E267" s="11" t="s">
        <v>1268</v>
      </c>
      <c r="F267" s="5">
        <v>44279</v>
      </c>
      <c r="G267" t="s">
        <v>602</v>
      </c>
      <c r="H267" t="s">
        <v>5</v>
      </c>
      <c r="I267" s="5">
        <v>44278</v>
      </c>
      <c r="J267" s="5">
        <v>44278</v>
      </c>
      <c r="K267" s="6">
        <v>6.9444444444440007E-2</v>
      </c>
      <c r="L267" s="5">
        <v>44278</v>
      </c>
      <c r="M267" s="6">
        <v>7.6388888888890005E-2</v>
      </c>
      <c r="N267" s="5">
        <v>44279</v>
      </c>
      <c r="Q267" s="12">
        <f t="shared" si="12"/>
        <v>44278.069444444445</v>
      </c>
      <c r="R267" s="12">
        <f t="shared" si="13"/>
        <v>44278.076388888891</v>
      </c>
      <c r="S267" s="13">
        <f t="shared" si="14"/>
        <v>6.9444444452528842E-3</v>
      </c>
    </row>
    <row r="268" spans="1:19" hidden="1" x14ac:dyDescent="0.2">
      <c r="A268" t="s">
        <v>740</v>
      </c>
      <c r="B268" t="s">
        <v>741</v>
      </c>
      <c r="C268" t="s">
        <v>3</v>
      </c>
      <c r="D268" s="11" t="s">
        <v>1268</v>
      </c>
      <c r="F268" s="5">
        <v>44279</v>
      </c>
      <c r="G268" t="s">
        <v>742</v>
      </c>
      <c r="H268" t="s">
        <v>5</v>
      </c>
      <c r="I268" s="5">
        <v>44279</v>
      </c>
      <c r="J268" s="5">
        <v>44278</v>
      </c>
      <c r="K268" s="6">
        <v>0.88194444444443998</v>
      </c>
      <c r="L268" s="5">
        <v>44278</v>
      </c>
      <c r="M268" s="6">
        <v>0.89583333333333004</v>
      </c>
      <c r="N268" s="5">
        <v>44279</v>
      </c>
      <c r="Q268" s="12">
        <f t="shared" si="12"/>
        <v>44278.881944444445</v>
      </c>
      <c r="R268" s="12">
        <f t="shared" si="13"/>
        <v>44278.895833333336</v>
      </c>
      <c r="S268" s="13">
        <f t="shared" si="14"/>
        <v>1.3888888890505768E-2</v>
      </c>
    </row>
    <row r="269" spans="1:19" hidden="1" x14ac:dyDescent="0.2">
      <c r="A269" t="s">
        <v>743</v>
      </c>
      <c r="B269" t="s">
        <v>744</v>
      </c>
      <c r="C269" t="s">
        <v>3</v>
      </c>
      <c r="F269" s="5">
        <v>44286</v>
      </c>
      <c r="G269" t="s">
        <v>745</v>
      </c>
      <c r="H269" t="s">
        <v>15</v>
      </c>
      <c r="I269" s="5">
        <v>44285</v>
      </c>
      <c r="J269" s="5">
        <v>44278</v>
      </c>
      <c r="K269" s="6">
        <v>0.66666666666666996</v>
      </c>
      <c r="L269" s="5">
        <v>44278</v>
      </c>
      <c r="M269" s="6">
        <v>0.70833333333333004</v>
      </c>
      <c r="N269" s="5">
        <v>44286</v>
      </c>
      <c r="Q269" s="12">
        <f t="shared" si="12"/>
        <v>44278.666666666664</v>
      </c>
      <c r="R269" s="12">
        <f t="shared" si="13"/>
        <v>44278.708333333336</v>
      </c>
      <c r="S269" s="13">
        <f t="shared" si="14"/>
        <v>4.1666666671517305E-2</v>
      </c>
    </row>
    <row r="270" spans="1:19" hidden="1" x14ac:dyDescent="0.2">
      <c r="A270" t="s">
        <v>746</v>
      </c>
      <c r="B270" t="s">
        <v>747</v>
      </c>
      <c r="C270" t="s">
        <v>3</v>
      </c>
      <c r="F270" s="5">
        <v>44296</v>
      </c>
      <c r="G270" t="s">
        <v>748</v>
      </c>
      <c r="H270" t="s">
        <v>5</v>
      </c>
      <c r="I270" s="5">
        <v>44294</v>
      </c>
      <c r="J270" s="5">
        <v>44294</v>
      </c>
      <c r="K270" s="6">
        <v>0.54166666666666996</v>
      </c>
      <c r="L270" s="5">
        <v>44294</v>
      </c>
      <c r="M270" s="6">
        <v>0.75</v>
      </c>
      <c r="N270" s="5">
        <v>44296</v>
      </c>
      <c r="Q270" s="12">
        <f t="shared" si="12"/>
        <v>44294.541666666664</v>
      </c>
      <c r="R270" s="12">
        <f t="shared" si="13"/>
        <v>44294.75</v>
      </c>
      <c r="S270" s="13">
        <f t="shared" si="14"/>
        <v>0.20833333333575865</v>
      </c>
    </row>
    <row r="271" spans="1:19" hidden="1" x14ac:dyDescent="0.2">
      <c r="A271" t="s">
        <v>749</v>
      </c>
      <c r="B271" t="s">
        <v>750</v>
      </c>
      <c r="C271" t="s">
        <v>3</v>
      </c>
      <c r="F271" s="5">
        <v>44303</v>
      </c>
      <c r="G271" t="s">
        <v>751</v>
      </c>
      <c r="H271" t="s">
        <v>5</v>
      </c>
      <c r="I271" s="5">
        <v>44303</v>
      </c>
      <c r="J271" s="5">
        <v>44302</v>
      </c>
      <c r="K271" s="6">
        <v>0.91666666666666996</v>
      </c>
      <c r="L271" s="5">
        <v>44302</v>
      </c>
      <c r="M271" s="6">
        <v>0.97916666666666996</v>
      </c>
      <c r="N271" s="5">
        <v>44303</v>
      </c>
      <c r="Q271" s="12">
        <f t="shared" si="12"/>
        <v>44302.916666666664</v>
      </c>
      <c r="R271" s="12">
        <f t="shared" si="13"/>
        <v>44302.979166666664</v>
      </c>
      <c r="S271" s="13">
        <f t="shared" si="14"/>
        <v>6.25E-2</v>
      </c>
    </row>
    <row r="272" spans="1:19" hidden="1" x14ac:dyDescent="0.2">
      <c r="A272" t="s">
        <v>752</v>
      </c>
      <c r="B272" t="s">
        <v>753</v>
      </c>
      <c r="C272" t="s">
        <v>3</v>
      </c>
      <c r="F272" s="5">
        <v>44305</v>
      </c>
      <c r="G272" t="s">
        <v>754</v>
      </c>
      <c r="H272" t="s">
        <v>15</v>
      </c>
      <c r="I272" s="5">
        <v>44304</v>
      </c>
      <c r="J272" s="5">
        <v>44291</v>
      </c>
      <c r="K272" s="6">
        <v>0.54166666666666996</v>
      </c>
      <c r="L272" s="5">
        <v>44291</v>
      </c>
      <c r="M272" s="6">
        <v>0.58333333333333004</v>
      </c>
      <c r="N272" s="5">
        <v>44305</v>
      </c>
      <c r="Q272" s="12">
        <f t="shared" si="12"/>
        <v>44291.541666666664</v>
      </c>
      <c r="R272" s="12">
        <f t="shared" si="13"/>
        <v>44291.583333333336</v>
      </c>
      <c r="S272" s="13">
        <f t="shared" si="14"/>
        <v>4.1666666671517305E-2</v>
      </c>
    </row>
    <row r="273" spans="1:19" hidden="1" x14ac:dyDescent="0.2">
      <c r="A273" t="s">
        <v>755</v>
      </c>
      <c r="B273" t="s">
        <v>756</v>
      </c>
      <c r="C273" t="s">
        <v>3</v>
      </c>
      <c r="F273" s="5">
        <v>44308</v>
      </c>
      <c r="G273" t="s">
        <v>757</v>
      </c>
      <c r="H273" t="s">
        <v>5</v>
      </c>
      <c r="I273" s="5">
        <v>44307</v>
      </c>
      <c r="J273" s="5">
        <v>44307</v>
      </c>
      <c r="K273" s="6">
        <v>0.625</v>
      </c>
      <c r="L273" s="5">
        <v>44307</v>
      </c>
      <c r="M273" s="6">
        <v>0.64583333333333004</v>
      </c>
      <c r="N273" s="5">
        <v>44308</v>
      </c>
      <c r="Q273" s="12">
        <f t="shared" si="12"/>
        <v>44307.625</v>
      </c>
      <c r="R273" s="12">
        <f t="shared" si="13"/>
        <v>44307.645833333336</v>
      </c>
      <c r="S273" s="13">
        <f t="shared" si="14"/>
        <v>2.0833333335758653E-2</v>
      </c>
    </row>
    <row r="274" spans="1:19" hidden="1" x14ac:dyDescent="0.2">
      <c r="A274" t="s">
        <v>758</v>
      </c>
      <c r="B274" t="s">
        <v>759</v>
      </c>
      <c r="C274" t="s">
        <v>3</v>
      </c>
      <c r="F274" s="5">
        <v>44311</v>
      </c>
      <c r="G274" t="s">
        <v>760</v>
      </c>
      <c r="H274" t="s">
        <v>5</v>
      </c>
      <c r="I274" s="5">
        <v>44310</v>
      </c>
      <c r="J274" s="5">
        <v>44310</v>
      </c>
      <c r="K274" s="6">
        <v>0.22916666666666999</v>
      </c>
      <c r="L274" s="5">
        <v>44310</v>
      </c>
      <c r="M274" s="6">
        <v>0.25</v>
      </c>
      <c r="N274" s="5">
        <v>44311</v>
      </c>
      <c r="Q274" s="12">
        <f t="shared" si="12"/>
        <v>44310.229166666664</v>
      </c>
      <c r="R274" s="12">
        <f t="shared" si="13"/>
        <v>44310.25</v>
      </c>
      <c r="S274" s="13">
        <f t="shared" si="14"/>
        <v>2.0833333335758653E-2</v>
      </c>
    </row>
    <row r="275" spans="1:19" x14ac:dyDescent="0.2">
      <c r="A275" t="s">
        <v>761</v>
      </c>
      <c r="B275" t="s">
        <v>762</v>
      </c>
      <c r="C275" t="s">
        <v>3</v>
      </c>
      <c r="E275" s="11" t="s">
        <v>1268</v>
      </c>
      <c r="F275" s="5">
        <v>44312</v>
      </c>
      <c r="G275" t="s">
        <v>712</v>
      </c>
      <c r="H275" t="s">
        <v>5</v>
      </c>
      <c r="I275" s="5">
        <v>44311</v>
      </c>
      <c r="J275" s="5">
        <v>44305</v>
      </c>
      <c r="K275" s="6">
        <v>0.5</v>
      </c>
      <c r="L275" s="5">
        <v>44305</v>
      </c>
      <c r="M275" s="6">
        <v>0.50694444444443998</v>
      </c>
      <c r="N275" s="5">
        <v>44312</v>
      </c>
      <c r="Q275" s="12">
        <f t="shared" si="12"/>
        <v>44305.5</v>
      </c>
      <c r="R275" s="12">
        <f t="shared" si="13"/>
        <v>44305.506944444445</v>
      </c>
      <c r="S275" s="13">
        <f t="shared" si="14"/>
        <v>6.9444444452528842E-3</v>
      </c>
    </row>
    <row r="276" spans="1:19" hidden="1" x14ac:dyDescent="0.2">
      <c r="A276" t="s">
        <v>763</v>
      </c>
      <c r="B276" t="s">
        <v>764</v>
      </c>
      <c r="C276" t="s">
        <v>3</v>
      </c>
      <c r="F276" s="5">
        <v>44312</v>
      </c>
      <c r="G276" t="s">
        <v>723</v>
      </c>
      <c r="H276" t="s">
        <v>5</v>
      </c>
      <c r="I276" s="5">
        <v>44311</v>
      </c>
      <c r="J276" s="5">
        <v>44305</v>
      </c>
      <c r="K276" s="6">
        <v>0.41666666666667002</v>
      </c>
      <c r="L276" s="5">
        <v>44305</v>
      </c>
      <c r="M276" s="6">
        <v>0.4375</v>
      </c>
      <c r="N276" s="5">
        <v>44312</v>
      </c>
      <c r="Q276" s="12">
        <f t="shared" si="12"/>
        <v>44305.416666666664</v>
      </c>
      <c r="R276" s="12">
        <f t="shared" si="13"/>
        <v>44305.4375</v>
      </c>
      <c r="S276" s="13">
        <f t="shared" si="14"/>
        <v>2.0833333335758653E-2</v>
      </c>
    </row>
    <row r="277" spans="1:19" hidden="1" x14ac:dyDescent="0.2">
      <c r="A277" t="s">
        <v>0</v>
      </c>
      <c r="B277" t="s">
        <v>765</v>
      </c>
      <c r="C277" t="s">
        <v>82</v>
      </c>
      <c r="F277" s="5">
        <v>44314</v>
      </c>
      <c r="G277" t="s">
        <v>766</v>
      </c>
      <c r="H277" t="s">
        <v>5</v>
      </c>
      <c r="I277" s="5">
        <v>44333</v>
      </c>
      <c r="J277" s="5">
        <v>44314</v>
      </c>
      <c r="K277" s="6">
        <v>0.625</v>
      </c>
      <c r="L277" s="5">
        <v>44314</v>
      </c>
      <c r="M277" s="6">
        <v>0.70833333333333004</v>
      </c>
      <c r="N277" s="5">
        <v>44314</v>
      </c>
      <c r="Q277" s="12">
        <f t="shared" si="12"/>
        <v>44314.625</v>
      </c>
      <c r="R277" s="12">
        <f t="shared" si="13"/>
        <v>44314.708333333336</v>
      </c>
      <c r="S277" s="13">
        <f t="shared" si="14"/>
        <v>8.3333333335758653E-2</v>
      </c>
    </row>
    <row r="278" spans="1:19" x14ac:dyDescent="0.2">
      <c r="A278" t="s">
        <v>767</v>
      </c>
      <c r="B278" t="s">
        <v>768</v>
      </c>
      <c r="C278" t="s">
        <v>3</v>
      </c>
      <c r="E278" s="11" t="s">
        <v>1268</v>
      </c>
      <c r="F278" s="5">
        <v>44315</v>
      </c>
      <c r="G278" t="s">
        <v>769</v>
      </c>
      <c r="H278" t="s">
        <v>5</v>
      </c>
      <c r="I278" s="5">
        <v>44314</v>
      </c>
      <c r="J278" s="5">
        <v>44314</v>
      </c>
      <c r="K278" s="6">
        <v>0.125</v>
      </c>
      <c r="L278" s="5">
        <v>44314</v>
      </c>
      <c r="M278" s="6">
        <v>0.13541666666666999</v>
      </c>
      <c r="N278" s="5">
        <v>44315</v>
      </c>
      <c r="Q278" s="12">
        <f t="shared" si="12"/>
        <v>44314.125</v>
      </c>
      <c r="R278" s="12">
        <f t="shared" si="13"/>
        <v>44314.135416666664</v>
      </c>
      <c r="S278" s="13">
        <f t="shared" si="14"/>
        <v>1.0416666664241347E-2</v>
      </c>
    </row>
    <row r="279" spans="1:19" hidden="1" x14ac:dyDescent="0.2">
      <c r="A279" t="s">
        <v>770</v>
      </c>
      <c r="B279" t="s">
        <v>771</v>
      </c>
      <c r="C279" t="s">
        <v>3</v>
      </c>
      <c r="D279" s="11" t="s">
        <v>1268</v>
      </c>
      <c r="F279" s="5">
        <v>44315</v>
      </c>
      <c r="G279" t="s">
        <v>772</v>
      </c>
      <c r="H279" t="s">
        <v>5</v>
      </c>
      <c r="I279" s="5">
        <v>44314</v>
      </c>
      <c r="J279" s="5">
        <v>44302</v>
      </c>
      <c r="K279" s="6">
        <v>0.5625</v>
      </c>
      <c r="L279" s="5">
        <v>44302</v>
      </c>
      <c r="M279" s="6">
        <v>0.60416666666666996</v>
      </c>
      <c r="N279" s="5">
        <v>44315</v>
      </c>
      <c r="Q279" s="12">
        <f t="shared" si="12"/>
        <v>44302.5625</v>
      </c>
      <c r="R279" s="12">
        <f t="shared" si="13"/>
        <v>44302.604166666664</v>
      </c>
      <c r="S279" s="13">
        <f t="shared" si="14"/>
        <v>4.1666666664241347E-2</v>
      </c>
    </row>
    <row r="280" spans="1:19" x14ac:dyDescent="0.2">
      <c r="A280" t="s">
        <v>773</v>
      </c>
      <c r="B280" t="s">
        <v>774</v>
      </c>
      <c r="C280" t="s">
        <v>3</v>
      </c>
      <c r="E280" s="11" t="s">
        <v>1268</v>
      </c>
      <c r="F280" s="5">
        <v>44315</v>
      </c>
      <c r="G280" t="s">
        <v>775</v>
      </c>
      <c r="H280" t="s">
        <v>5</v>
      </c>
      <c r="I280" s="5">
        <v>44314</v>
      </c>
      <c r="J280" s="5">
        <v>44303</v>
      </c>
      <c r="K280" s="6">
        <v>0.35416666666667002</v>
      </c>
      <c r="L280" s="5">
        <v>44303</v>
      </c>
      <c r="M280" s="6">
        <v>0.375</v>
      </c>
      <c r="N280" s="5">
        <v>44315</v>
      </c>
      <c r="Q280" s="12">
        <f t="shared" si="12"/>
        <v>44303.354166666664</v>
      </c>
      <c r="R280" s="12">
        <f t="shared" si="13"/>
        <v>44303.375</v>
      </c>
      <c r="S280" s="13">
        <f t="shared" si="14"/>
        <v>2.0833333335758653E-2</v>
      </c>
    </row>
    <row r="281" spans="1:19" hidden="1" x14ac:dyDescent="0.2">
      <c r="A281" t="s">
        <v>776</v>
      </c>
      <c r="B281" t="s">
        <v>777</v>
      </c>
      <c r="C281" t="s">
        <v>3</v>
      </c>
      <c r="F281" s="5">
        <v>44319</v>
      </c>
      <c r="G281" t="s">
        <v>602</v>
      </c>
      <c r="H281" t="s">
        <v>5</v>
      </c>
      <c r="I281" s="5">
        <v>44318</v>
      </c>
      <c r="J281" s="5">
        <v>44296</v>
      </c>
      <c r="K281" s="6">
        <v>0.66666666666666996</v>
      </c>
      <c r="L281" s="5">
        <v>44296</v>
      </c>
      <c r="M281" s="6">
        <v>0.67361111111111005</v>
      </c>
      <c r="N281" s="5">
        <v>44319</v>
      </c>
      <c r="Q281" s="12">
        <f t="shared" si="12"/>
        <v>44296.666666666664</v>
      </c>
      <c r="R281" s="12">
        <f t="shared" si="13"/>
        <v>44296.673611111109</v>
      </c>
      <c r="S281" s="13">
        <f t="shared" si="14"/>
        <v>6.9444444452528842E-3</v>
      </c>
    </row>
    <row r="282" spans="1:19" hidden="1" x14ac:dyDescent="0.2">
      <c r="A282" t="s">
        <v>778</v>
      </c>
      <c r="B282" t="s">
        <v>779</v>
      </c>
      <c r="C282" t="s">
        <v>3</v>
      </c>
      <c r="F282" s="5">
        <v>44323</v>
      </c>
      <c r="G282" t="s">
        <v>723</v>
      </c>
      <c r="H282" t="s">
        <v>5</v>
      </c>
      <c r="I282" s="5">
        <v>44322</v>
      </c>
      <c r="J282" s="5">
        <v>44322</v>
      </c>
      <c r="K282" s="6">
        <v>6.9444444444399997E-3</v>
      </c>
      <c r="L282" s="5">
        <v>44322</v>
      </c>
      <c r="M282" s="6">
        <v>2.777777777778E-2</v>
      </c>
      <c r="N282" s="5">
        <v>44323</v>
      </c>
      <c r="Q282" s="12">
        <f t="shared" si="12"/>
        <v>44322.006944444445</v>
      </c>
      <c r="R282" s="12">
        <f t="shared" si="13"/>
        <v>44322.027777777781</v>
      </c>
      <c r="S282" s="13">
        <f t="shared" si="14"/>
        <v>2.0833333335758653E-2</v>
      </c>
    </row>
    <row r="283" spans="1:19" hidden="1" x14ac:dyDescent="0.2">
      <c r="A283" t="s">
        <v>780</v>
      </c>
      <c r="B283" t="s">
        <v>781</v>
      </c>
      <c r="C283" t="s">
        <v>3</v>
      </c>
      <c r="F283" s="5">
        <v>44326</v>
      </c>
      <c r="G283" t="s">
        <v>723</v>
      </c>
      <c r="H283" t="s">
        <v>5</v>
      </c>
      <c r="I283" s="5">
        <v>44321</v>
      </c>
      <c r="J283" s="5">
        <v>44321</v>
      </c>
      <c r="K283" s="6">
        <v>0.41666666666667002</v>
      </c>
      <c r="L283" s="5">
        <v>44321</v>
      </c>
      <c r="M283" s="6">
        <v>0.45833333333332998</v>
      </c>
      <c r="N283" s="5">
        <v>44326</v>
      </c>
      <c r="Q283" s="12">
        <f t="shared" si="12"/>
        <v>44321.416666666664</v>
      </c>
      <c r="R283" s="12">
        <f t="shared" si="13"/>
        <v>44321.458333333336</v>
      </c>
      <c r="S283" s="13">
        <f t="shared" si="14"/>
        <v>4.1666666671517305E-2</v>
      </c>
    </row>
    <row r="284" spans="1:19" hidden="1" x14ac:dyDescent="0.2">
      <c r="A284" t="s">
        <v>782</v>
      </c>
      <c r="B284" t="s">
        <v>783</v>
      </c>
      <c r="C284" t="s">
        <v>3</v>
      </c>
      <c r="D284" s="11" t="s">
        <v>1268</v>
      </c>
      <c r="F284" s="5">
        <v>44327</v>
      </c>
      <c r="G284" t="s">
        <v>330</v>
      </c>
      <c r="H284" t="s">
        <v>5</v>
      </c>
      <c r="I284" s="5">
        <v>44327</v>
      </c>
      <c r="J284" s="5">
        <v>44326</v>
      </c>
      <c r="K284" s="6">
        <v>0.8125</v>
      </c>
      <c r="L284" s="5">
        <v>44326</v>
      </c>
      <c r="M284" s="6">
        <v>0.85416666666666996</v>
      </c>
      <c r="N284" s="5">
        <v>44327</v>
      </c>
      <c r="Q284" s="12">
        <f t="shared" si="12"/>
        <v>44326.8125</v>
      </c>
      <c r="R284" s="12">
        <f t="shared" si="13"/>
        <v>44326.854166666664</v>
      </c>
      <c r="S284" s="13">
        <f t="shared" si="14"/>
        <v>4.1666666664241347E-2</v>
      </c>
    </row>
    <row r="285" spans="1:19" hidden="1" x14ac:dyDescent="0.2">
      <c r="A285" t="s">
        <v>0</v>
      </c>
      <c r="B285" t="s">
        <v>784</v>
      </c>
      <c r="C285" t="s">
        <v>3</v>
      </c>
      <c r="F285" s="5">
        <v>44330</v>
      </c>
      <c r="G285" t="s">
        <v>785</v>
      </c>
      <c r="H285" t="s">
        <v>5</v>
      </c>
      <c r="I285" s="5">
        <v>44330</v>
      </c>
      <c r="J285" s="5"/>
      <c r="K285" s="6">
        <v>0</v>
      </c>
      <c r="L285" s="5"/>
      <c r="M285" s="6">
        <v>0</v>
      </c>
      <c r="N285" s="5">
        <v>44330</v>
      </c>
      <c r="Q285" s="12">
        <f t="shared" si="12"/>
        <v>0</v>
      </c>
      <c r="R285" s="12">
        <f t="shared" si="13"/>
        <v>0</v>
      </c>
      <c r="S285" s="13">
        <f t="shared" si="14"/>
        <v>0</v>
      </c>
    </row>
    <row r="286" spans="1:19" hidden="1" x14ac:dyDescent="0.2">
      <c r="A286" t="s">
        <v>786</v>
      </c>
      <c r="B286" t="s">
        <v>787</v>
      </c>
      <c r="C286" t="s">
        <v>3</v>
      </c>
      <c r="F286" s="5">
        <v>44330</v>
      </c>
      <c r="G286" t="s">
        <v>788</v>
      </c>
      <c r="H286" t="s">
        <v>5</v>
      </c>
      <c r="I286" s="5">
        <v>44330</v>
      </c>
      <c r="J286" s="5">
        <v>44329</v>
      </c>
      <c r="K286" s="6">
        <v>0.95833333333333004</v>
      </c>
      <c r="L286" s="5">
        <v>44329</v>
      </c>
      <c r="M286" s="6">
        <v>0.97222222222221999</v>
      </c>
      <c r="N286" s="5">
        <v>44330</v>
      </c>
      <c r="Q286" s="12">
        <f t="shared" si="12"/>
        <v>44329.958333333336</v>
      </c>
      <c r="R286" s="12">
        <f t="shared" si="13"/>
        <v>44329.972222222219</v>
      </c>
      <c r="S286" s="13">
        <f t="shared" si="14"/>
        <v>1.3888888883229811E-2</v>
      </c>
    </row>
    <row r="287" spans="1:19" hidden="1" x14ac:dyDescent="0.2">
      <c r="A287" t="s">
        <v>789</v>
      </c>
      <c r="B287" t="s">
        <v>790</v>
      </c>
      <c r="C287" t="s">
        <v>3</v>
      </c>
      <c r="D287" s="11" t="s">
        <v>1268</v>
      </c>
      <c r="F287" s="5">
        <v>44330</v>
      </c>
      <c r="G287" t="s">
        <v>791</v>
      </c>
      <c r="H287" t="s">
        <v>5</v>
      </c>
      <c r="I287" s="5">
        <v>44330</v>
      </c>
      <c r="J287" s="5">
        <v>44330</v>
      </c>
      <c r="K287" s="6">
        <v>0.22916666666666999</v>
      </c>
      <c r="L287" s="5">
        <v>44330</v>
      </c>
      <c r="M287" s="6">
        <v>0.24305555555555999</v>
      </c>
      <c r="N287" s="5">
        <v>44330</v>
      </c>
      <c r="Q287" s="12">
        <f t="shared" si="12"/>
        <v>44330.229166666664</v>
      </c>
      <c r="R287" s="12">
        <f t="shared" si="13"/>
        <v>44330.243055555555</v>
      </c>
      <c r="S287" s="13">
        <f t="shared" si="14"/>
        <v>1.3888888890505768E-2</v>
      </c>
    </row>
    <row r="288" spans="1:19" hidden="1" x14ac:dyDescent="0.2">
      <c r="A288" t="s">
        <v>0</v>
      </c>
      <c r="B288" t="s">
        <v>792</v>
      </c>
      <c r="C288" t="s">
        <v>82</v>
      </c>
      <c r="F288" s="5">
        <v>44331</v>
      </c>
      <c r="G288" t="s">
        <v>793</v>
      </c>
      <c r="H288" t="s">
        <v>15</v>
      </c>
      <c r="I288" s="5">
        <v>44334</v>
      </c>
      <c r="J288" s="5">
        <v>44331</v>
      </c>
      <c r="K288" s="6">
        <v>0.45833333333332998</v>
      </c>
      <c r="L288" s="5">
        <v>44331</v>
      </c>
      <c r="M288" s="6">
        <v>0.64583333333333004</v>
      </c>
      <c r="N288" s="5">
        <v>44331</v>
      </c>
      <c r="Q288" s="12">
        <f t="shared" si="12"/>
        <v>44331.458333333336</v>
      </c>
      <c r="R288" s="12">
        <f t="shared" si="13"/>
        <v>44331.645833333336</v>
      </c>
      <c r="S288" s="13">
        <f t="shared" si="14"/>
        <v>0.1875</v>
      </c>
    </row>
    <row r="289" spans="1:19" hidden="1" x14ac:dyDescent="0.2">
      <c r="A289" t="s">
        <v>0</v>
      </c>
      <c r="B289" t="s">
        <v>794</v>
      </c>
      <c r="C289" t="s">
        <v>82</v>
      </c>
      <c r="F289" s="5">
        <v>44331</v>
      </c>
      <c r="G289" t="s">
        <v>795</v>
      </c>
      <c r="H289" t="s">
        <v>5</v>
      </c>
      <c r="I289" s="5">
        <v>44347</v>
      </c>
      <c r="J289" s="5">
        <v>44329</v>
      </c>
      <c r="K289" s="6">
        <v>0.41666666666667002</v>
      </c>
      <c r="L289" s="5">
        <v>44347</v>
      </c>
      <c r="M289" s="6">
        <v>0.70833333333333004</v>
      </c>
      <c r="N289" s="5">
        <v>44331</v>
      </c>
      <c r="Q289" s="12">
        <f t="shared" si="12"/>
        <v>44329.416666666664</v>
      </c>
      <c r="R289" s="12">
        <f t="shared" si="13"/>
        <v>44347.708333333336</v>
      </c>
      <c r="S289" s="13">
        <f t="shared" si="14"/>
        <v>18.291666666671517</v>
      </c>
    </row>
    <row r="290" spans="1:19" hidden="1" x14ac:dyDescent="0.2">
      <c r="A290" t="s">
        <v>796</v>
      </c>
      <c r="B290" t="s">
        <v>797</v>
      </c>
      <c r="C290" t="s">
        <v>3</v>
      </c>
      <c r="F290" s="5">
        <v>44350</v>
      </c>
      <c r="G290" t="s">
        <v>798</v>
      </c>
      <c r="H290" t="s">
        <v>15</v>
      </c>
      <c r="I290" s="5">
        <v>44344</v>
      </c>
      <c r="J290" s="5">
        <v>44344</v>
      </c>
      <c r="K290" s="6">
        <v>0.33333333333332998</v>
      </c>
      <c r="L290" s="5">
        <v>44344</v>
      </c>
      <c r="M290" s="6">
        <v>0.375</v>
      </c>
      <c r="N290" s="5">
        <v>44350</v>
      </c>
      <c r="Q290" s="12">
        <f t="shared" si="12"/>
        <v>44344.333333333336</v>
      </c>
      <c r="R290" s="12">
        <f t="shared" si="13"/>
        <v>44344.375</v>
      </c>
      <c r="S290" s="13">
        <f t="shared" si="14"/>
        <v>4.1666666664241347E-2</v>
      </c>
    </row>
    <row r="291" spans="1:19" hidden="1" x14ac:dyDescent="0.2">
      <c r="A291" t="s">
        <v>799</v>
      </c>
      <c r="B291" t="s">
        <v>800</v>
      </c>
      <c r="C291" t="s">
        <v>3</v>
      </c>
      <c r="F291" s="5">
        <v>44351</v>
      </c>
      <c r="G291" t="s">
        <v>801</v>
      </c>
      <c r="H291" t="s">
        <v>5</v>
      </c>
      <c r="I291" s="5">
        <v>44350</v>
      </c>
      <c r="J291" s="5"/>
      <c r="K291" s="6">
        <v>0</v>
      </c>
      <c r="L291" s="5"/>
      <c r="M291" s="6">
        <v>0</v>
      </c>
      <c r="N291" s="5">
        <v>44351</v>
      </c>
      <c r="Q291" s="12">
        <f t="shared" si="12"/>
        <v>0</v>
      </c>
      <c r="R291" s="12">
        <f t="shared" si="13"/>
        <v>0</v>
      </c>
      <c r="S291" s="13">
        <f t="shared" si="14"/>
        <v>0</v>
      </c>
    </row>
    <row r="292" spans="1:19" hidden="1" x14ac:dyDescent="0.2">
      <c r="A292" t="s">
        <v>802</v>
      </c>
      <c r="B292" t="s">
        <v>803</v>
      </c>
      <c r="C292" t="s">
        <v>3</v>
      </c>
      <c r="F292" s="5">
        <v>44354</v>
      </c>
      <c r="G292" t="s">
        <v>804</v>
      </c>
      <c r="H292" t="s">
        <v>5</v>
      </c>
      <c r="I292" s="5">
        <v>44350</v>
      </c>
      <c r="J292" s="5">
        <v>44350</v>
      </c>
      <c r="K292" s="6">
        <v>0.41666666666667002</v>
      </c>
      <c r="L292" s="5">
        <v>44350</v>
      </c>
      <c r="M292" s="6">
        <v>0.44444444444443998</v>
      </c>
      <c r="N292" s="5">
        <v>44354</v>
      </c>
      <c r="Q292" s="12">
        <f t="shared" si="12"/>
        <v>44350.416666666664</v>
      </c>
      <c r="R292" s="12">
        <f t="shared" si="13"/>
        <v>44350.444444444445</v>
      </c>
      <c r="S292" s="13">
        <f t="shared" si="14"/>
        <v>2.7777777781011537E-2</v>
      </c>
    </row>
    <row r="293" spans="1:19" hidden="1" x14ac:dyDescent="0.2">
      <c r="A293" t="s">
        <v>805</v>
      </c>
      <c r="B293" t="s">
        <v>806</v>
      </c>
      <c r="C293" t="s">
        <v>3</v>
      </c>
      <c r="D293" s="11" t="s">
        <v>1268</v>
      </c>
      <c r="F293" s="5">
        <v>44356</v>
      </c>
      <c r="G293" t="s">
        <v>731</v>
      </c>
      <c r="H293" t="s">
        <v>5</v>
      </c>
      <c r="I293" s="5">
        <v>44355</v>
      </c>
      <c r="J293" s="5">
        <v>44355</v>
      </c>
      <c r="K293" s="6">
        <v>0.20833333333333001</v>
      </c>
      <c r="L293" s="5">
        <v>44355</v>
      </c>
      <c r="M293" s="6">
        <v>0.27083333333332998</v>
      </c>
      <c r="N293" s="5">
        <v>44356</v>
      </c>
      <c r="Q293" s="12">
        <f t="shared" si="12"/>
        <v>44355.208333333336</v>
      </c>
      <c r="R293" s="12">
        <f t="shared" si="13"/>
        <v>44355.270833333336</v>
      </c>
      <c r="S293" s="13">
        <f t="shared" si="14"/>
        <v>6.25E-2</v>
      </c>
    </row>
    <row r="294" spans="1:19" hidden="1" x14ac:dyDescent="0.2">
      <c r="A294" t="s">
        <v>807</v>
      </c>
      <c r="B294" t="s">
        <v>808</v>
      </c>
      <c r="C294" t="s">
        <v>3</v>
      </c>
      <c r="F294" s="5">
        <v>44373</v>
      </c>
      <c r="G294" t="s">
        <v>809</v>
      </c>
      <c r="H294" t="s">
        <v>15</v>
      </c>
      <c r="I294" s="5">
        <v>44372</v>
      </c>
      <c r="J294" s="5">
        <v>44358</v>
      </c>
      <c r="K294" s="6">
        <v>0.64583333333333004</v>
      </c>
      <c r="L294" s="5">
        <v>44358</v>
      </c>
      <c r="M294" s="6">
        <v>0.6875</v>
      </c>
      <c r="N294" s="5">
        <v>44373</v>
      </c>
      <c r="Q294" s="12">
        <f t="shared" si="12"/>
        <v>44358.645833333336</v>
      </c>
      <c r="R294" s="12">
        <f t="shared" si="13"/>
        <v>44358.6875</v>
      </c>
      <c r="S294" s="13">
        <f t="shared" si="14"/>
        <v>4.1666666664241347E-2</v>
      </c>
    </row>
    <row r="295" spans="1:19" hidden="1" x14ac:dyDescent="0.2">
      <c r="A295" t="s">
        <v>810</v>
      </c>
      <c r="B295" t="s">
        <v>811</v>
      </c>
      <c r="C295" t="s">
        <v>3</v>
      </c>
      <c r="F295" s="5">
        <v>44376</v>
      </c>
      <c r="G295" t="s">
        <v>812</v>
      </c>
      <c r="H295" t="s">
        <v>5</v>
      </c>
      <c r="I295" s="5">
        <v>44377</v>
      </c>
      <c r="J295" s="5">
        <v>44365</v>
      </c>
      <c r="K295" s="6">
        <v>0.20138888888889001</v>
      </c>
      <c r="L295" s="5">
        <v>44365</v>
      </c>
      <c r="M295" s="6">
        <v>0.20833333333333001</v>
      </c>
      <c r="N295" s="5">
        <v>44376</v>
      </c>
      <c r="Q295" s="12">
        <f t="shared" si="12"/>
        <v>44365.201388888891</v>
      </c>
      <c r="R295" s="12">
        <f t="shared" si="13"/>
        <v>44365.208333333336</v>
      </c>
      <c r="S295" s="13">
        <f t="shared" si="14"/>
        <v>6.9444444452528842E-3</v>
      </c>
    </row>
    <row r="296" spans="1:19" hidden="1" x14ac:dyDescent="0.2">
      <c r="A296" t="s">
        <v>813</v>
      </c>
      <c r="B296" t="s">
        <v>814</v>
      </c>
      <c r="C296" t="s">
        <v>3</v>
      </c>
      <c r="F296" s="5">
        <v>44376</v>
      </c>
      <c r="G296" t="s">
        <v>815</v>
      </c>
      <c r="H296" t="s">
        <v>5</v>
      </c>
      <c r="I296" s="5">
        <v>44377</v>
      </c>
      <c r="J296" s="5">
        <v>44367</v>
      </c>
      <c r="K296" s="6">
        <v>8.3333333333329998E-2</v>
      </c>
      <c r="L296" s="5">
        <v>44367</v>
      </c>
      <c r="M296" s="6">
        <v>0.10416666666667</v>
      </c>
      <c r="N296" s="5">
        <v>44376</v>
      </c>
      <c r="Q296" s="12">
        <f t="shared" si="12"/>
        <v>44367.083333333336</v>
      </c>
      <c r="R296" s="12">
        <f t="shared" si="13"/>
        <v>44367.104166666664</v>
      </c>
      <c r="S296" s="13">
        <f t="shared" si="14"/>
        <v>2.0833333328482695E-2</v>
      </c>
    </row>
    <row r="297" spans="1:19" hidden="1" x14ac:dyDescent="0.2">
      <c r="A297" t="s">
        <v>816</v>
      </c>
      <c r="B297" t="s">
        <v>817</v>
      </c>
      <c r="C297" t="s">
        <v>3</v>
      </c>
      <c r="F297" s="5">
        <v>44377</v>
      </c>
      <c r="G297" t="s">
        <v>818</v>
      </c>
      <c r="H297" t="s">
        <v>15</v>
      </c>
      <c r="I297" s="5">
        <v>44377</v>
      </c>
      <c r="J297" s="5">
        <v>44377</v>
      </c>
      <c r="K297" s="6">
        <v>0.41666666666667002</v>
      </c>
      <c r="L297" s="5">
        <v>44377</v>
      </c>
      <c r="M297" s="6">
        <v>0.625</v>
      </c>
      <c r="N297" s="5">
        <v>44377</v>
      </c>
      <c r="Q297" s="12">
        <f t="shared" si="12"/>
        <v>44377.416666666664</v>
      </c>
      <c r="R297" s="12">
        <f t="shared" si="13"/>
        <v>44377.625</v>
      </c>
      <c r="S297" s="13">
        <f t="shared" si="14"/>
        <v>0.20833333333575865</v>
      </c>
    </row>
    <row r="298" spans="1:19" x14ac:dyDescent="0.2">
      <c r="A298" t="s">
        <v>819</v>
      </c>
      <c r="B298" t="s">
        <v>820</v>
      </c>
      <c r="C298" t="s">
        <v>3</v>
      </c>
      <c r="E298" s="11" t="s">
        <v>1268</v>
      </c>
      <c r="F298" s="5">
        <v>44377</v>
      </c>
      <c r="G298" t="s">
        <v>821</v>
      </c>
      <c r="H298" t="s">
        <v>5</v>
      </c>
      <c r="I298" s="5">
        <v>44371</v>
      </c>
      <c r="J298" s="5">
        <v>44370</v>
      </c>
      <c r="K298" s="6">
        <v>0.8125</v>
      </c>
      <c r="L298" s="5">
        <v>44370</v>
      </c>
      <c r="M298" s="6">
        <v>0.82638888888888995</v>
      </c>
      <c r="N298" s="5">
        <v>44377</v>
      </c>
      <c r="Q298" s="12">
        <f t="shared" si="12"/>
        <v>44370.8125</v>
      </c>
      <c r="R298" s="12">
        <f t="shared" si="13"/>
        <v>44370.826388888891</v>
      </c>
      <c r="S298" s="13">
        <f t="shared" si="14"/>
        <v>1.3888888890505768E-2</v>
      </c>
    </row>
    <row r="299" spans="1:19" hidden="1" x14ac:dyDescent="0.2">
      <c r="A299" t="s">
        <v>822</v>
      </c>
      <c r="B299" t="s">
        <v>823</v>
      </c>
      <c r="C299" t="s">
        <v>3</v>
      </c>
      <c r="F299" s="5">
        <v>44377</v>
      </c>
      <c r="G299" t="s">
        <v>824</v>
      </c>
      <c r="H299" t="s">
        <v>5</v>
      </c>
      <c r="I299" s="5">
        <v>44371</v>
      </c>
      <c r="J299" s="5">
        <v>44370</v>
      </c>
      <c r="K299" s="6">
        <v>0.85416666666666996</v>
      </c>
      <c r="L299" s="5">
        <v>44370</v>
      </c>
      <c r="M299" s="6">
        <v>0.875</v>
      </c>
      <c r="N299" s="5">
        <v>44377</v>
      </c>
      <c r="Q299" s="12">
        <f t="shared" si="12"/>
        <v>44370.854166666664</v>
      </c>
      <c r="R299" s="12">
        <f t="shared" si="13"/>
        <v>44370.875</v>
      </c>
      <c r="S299" s="13">
        <f t="shared" si="14"/>
        <v>2.0833333335758653E-2</v>
      </c>
    </row>
    <row r="300" spans="1:19" x14ac:dyDescent="0.2">
      <c r="A300" t="s">
        <v>825</v>
      </c>
      <c r="B300" t="s">
        <v>826</v>
      </c>
      <c r="C300" t="s">
        <v>3</v>
      </c>
      <c r="E300" s="11" t="s">
        <v>1268</v>
      </c>
      <c r="F300" s="5">
        <v>44377</v>
      </c>
      <c r="G300" t="s">
        <v>821</v>
      </c>
      <c r="H300" t="s">
        <v>5</v>
      </c>
      <c r="I300" s="5">
        <v>44371</v>
      </c>
      <c r="J300" s="5">
        <v>44371</v>
      </c>
      <c r="K300" s="6">
        <v>0.24305555555555999</v>
      </c>
      <c r="L300" s="5">
        <v>44371</v>
      </c>
      <c r="M300" s="6">
        <v>0.25694444444443998</v>
      </c>
      <c r="N300" s="5">
        <v>44377</v>
      </c>
      <c r="Q300" s="12">
        <f t="shared" si="12"/>
        <v>44371.243055555555</v>
      </c>
      <c r="R300" s="12">
        <f t="shared" si="13"/>
        <v>44371.256944444445</v>
      </c>
      <c r="S300" s="13">
        <f t="shared" si="14"/>
        <v>1.3888888890505768E-2</v>
      </c>
    </row>
    <row r="301" spans="1:19" hidden="1" x14ac:dyDescent="0.2">
      <c r="A301" t="s">
        <v>827</v>
      </c>
      <c r="B301" t="s">
        <v>828</v>
      </c>
      <c r="C301" t="s">
        <v>3</v>
      </c>
      <c r="F301" s="5">
        <v>44378</v>
      </c>
      <c r="G301" t="s">
        <v>829</v>
      </c>
      <c r="H301" t="s">
        <v>15</v>
      </c>
      <c r="I301" s="5">
        <v>44373</v>
      </c>
      <c r="J301" s="5">
        <v>44373</v>
      </c>
      <c r="K301" s="6">
        <v>0.3125</v>
      </c>
      <c r="L301" s="5">
        <v>44373</v>
      </c>
      <c r="M301" s="6">
        <v>0.35416666666667002</v>
      </c>
      <c r="N301" s="5">
        <v>44378</v>
      </c>
      <c r="Q301" s="12">
        <f t="shared" si="12"/>
        <v>44373.3125</v>
      </c>
      <c r="R301" s="12">
        <f t="shared" si="13"/>
        <v>44373.354166666664</v>
      </c>
      <c r="S301" s="13">
        <f t="shared" si="14"/>
        <v>4.1666666664241347E-2</v>
      </c>
    </row>
    <row r="302" spans="1:19" hidden="1" x14ac:dyDescent="0.2">
      <c r="A302" t="s">
        <v>830</v>
      </c>
      <c r="B302" t="s">
        <v>831</v>
      </c>
      <c r="C302" t="s">
        <v>3</v>
      </c>
      <c r="D302" s="11" t="s">
        <v>1268</v>
      </c>
      <c r="F302" s="5">
        <v>44379</v>
      </c>
      <c r="G302" t="s">
        <v>39</v>
      </c>
      <c r="H302" t="s">
        <v>5</v>
      </c>
      <c r="I302" s="5">
        <v>44378</v>
      </c>
      <c r="J302" s="5">
        <v>44355</v>
      </c>
      <c r="K302" s="6">
        <v>0.59722222222221999</v>
      </c>
      <c r="L302" s="5">
        <v>44355</v>
      </c>
      <c r="M302" s="6">
        <v>0.63888888888888995</v>
      </c>
      <c r="N302" s="5">
        <v>44379</v>
      </c>
      <c r="Q302" s="12">
        <f t="shared" si="12"/>
        <v>44355.597222222219</v>
      </c>
      <c r="R302" s="12">
        <f t="shared" si="13"/>
        <v>44355.638888888891</v>
      </c>
      <c r="S302" s="13">
        <f t="shared" si="14"/>
        <v>4.1666666671517305E-2</v>
      </c>
    </row>
    <row r="303" spans="1:19" hidden="1" x14ac:dyDescent="0.2">
      <c r="A303" t="s">
        <v>832</v>
      </c>
      <c r="B303" t="s">
        <v>833</v>
      </c>
      <c r="C303" t="s">
        <v>3</v>
      </c>
      <c r="F303" s="5">
        <v>44379</v>
      </c>
      <c r="G303" t="s">
        <v>834</v>
      </c>
      <c r="H303" t="s">
        <v>5</v>
      </c>
      <c r="I303" s="5">
        <v>44378</v>
      </c>
      <c r="J303" s="5">
        <v>44357</v>
      </c>
      <c r="K303" s="6">
        <v>0.58333333333333004</v>
      </c>
      <c r="L303" s="5">
        <v>44357</v>
      </c>
      <c r="M303" s="6">
        <v>0.79166666666666996</v>
      </c>
      <c r="N303" s="5">
        <v>44379</v>
      </c>
      <c r="Q303" s="12">
        <f t="shared" si="12"/>
        <v>44357.583333333336</v>
      </c>
      <c r="R303" s="12">
        <f t="shared" si="13"/>
        <v>44357.791666666664</v>
      </c>
      <c r="S303" s="13">
        <f t="shared" si="14"/>
        <v>0.20833333332848269</v>
      </c>
    </row>
    <row r="304" spans="1:19" hidden="1" x14ac:dyDescent="0.2">
      <c r="A304" t="s">
        <v>835</v>
      </c>
      <c r="B304" t="s">
        <v>836</v>
      </c>
      <c r="C304" t="s">
        <v>3</v>
      </c>
      <c r="F304" s="5">
        <v>44379</v>
      </c>
      <c r="G304" t="s">
        <v>834</v>
      </c>
      <c r="H304" t="s">
        <v>5</v>
      </c>
      <c r="I304" s="5">
        <v>44378</v>
      </c>
      <c r="J304" s="5">
        <v>44358</v>
      </c>
      <c r="K304" s="6">
        <v>0.64583333333333004</v>
      </c>
      <c r="L304" s="5">
        <v>44358</v>
      </c>
      <c r="M304" s="6">
        <v>0.77083333333333004</v>
      </c>
      <c r="N304" s="5">
        <v>44379</v>
      </c>
      <c r="Q304" s="12">
        <f t="shared" si="12"/>
        <v>44358.645833333336</v>
      </c>
      <c r="R304" s="12">
        <f t="shared" si="13"/>
        <v>44358.770833333336</v>
      </c>
      <c r="S304" s="13">
        <f t="shared" si="14"/>
        <v>0.125</v>
      </c>
    </row>
    <row r="305" spans="1:19" hidden="1" x14ac:dyDescent="0.2">
      <c r="A305" t="s">
        <v>837</v>
      </c>
      <c r="B305" t="s">
        <v>838</v>
      </c>
      <c r="C305" t="s">
        <v>3</v>
      </c>
      <c r="F305" s="5">
        <v>44380</v>
      </c>
      <c r="G305" t="s">
        <v>839</v>
      </c>
      <c r="H305" t="s">
        <v>5</v>
      </c>
      <c r="I305" s="5">
        <v>44379</v>
      </c>
      <c r="J305" s="5">
        <v>44363</v>
      </c>
      <c r="K305" s="6">
        <v>0.49305555555556002</v>
      </c>
      <c r="L305" s="5">
        <v>44363</v>
      </c>
      <c r="M305" s="6">
        <v>0.50694444444443998</v>
      </c>
      <c r="N305" s="5">
        <v>44380</v>
      </c>
      <c r="Q305" s="12">
        <f t="shared" si="12"/>
        <v>44363.493055555555</v>
      </c>
      <c r="R305" s="12">
        <f t="shared" si="13"/>
        <v>44363.506944444445</v>
      </c>
      <c r="S305" s="13">
        <f t="shared" si="14"/>
        <v>1.3888888890505768E-2</v>
      </c>
    </row>
    <row r="306" spans="1:19" hidden="1" x14ac:dyDescent="0.2">
      <c r="A306" t="s">
        <v>840</v>
      </c>
      <c r="B306" t="s">
        <v>841</v>
      </c>
      <c r="C306" t="s">
        <v>3</v>
      </c>
      <c r="F306" s="5">
        <v>44380</v>
      </c>
      <c r="G306" t="s">
        <v>842</v>
      </c>
      <c r="H306" t="s">
        <v>5</v>
      </c>
      <c r="I306" s="5">
        <v>44379</v>
      </c>
      <c r="J306" s="5">
        <v>44364</v>
      </c>
      <c r="K306" s="6">
        <v>0.625</v>
      </c>
      <c r="L306" s="5">
        <v>44364</v>
      </c>
      <c r="M306" s="6">
        <v>0.64583333333333004</v>
      </c>
      <c r="N306" s="5">
        <v>44380</v>
      </c>
      <c r="Q306" s="12">
        <f t="shared" si="12"/>
        <v>44364.625</v>
      </c>
      <c r="R306" s="12">
        <f t="shared" si="13"/>
        <v>44364.645833333336</v>
      </c>
      <c r="S306" s="13">
        <f t="shared" si="14"/>
        <v>2.0833333335758653E-2</v>
      </c>
    </row>
    <row r="307" spans="1:19" hidden="1" x14ac:dyDescent="0.2">
      <c r="A307" t="s">
        <v>843</v>
      </c>
      <c r="B307" t="s">
        <v>844</v>
      </c>
      <c r="C307" t="s">
        <v>3</v>
      </c>
      <c r="D307" s="11" t="s">
        <v>1266</v>
      </c>
      <c r="F307" s="5">
        <v>44380</v>
      </c>
      <c r="G307" t="s">
        <v>39</v>
      </c>
      <c r="H307" t="s">
        <v>5</v>
      </c>
      <c r="I307" s="5">
        <v>44379</v>
      </c>
      <c r="J307" s="5">
        <v>44370</v>
      </c>
      <c r="K307" s="6">
        <v>0.3125</v>
      </c>
      <c r="L307" s="5"/>
      <c r="M307" s="6">
        <v>0</v>
      </c>
      <c r="N307" s="5">
        <v>44380</v>
      </c>
      <c r="Q307" s="12">
        <f t="shared" si="12"/>
        <v>44370.3125</v>
      </c>
      <c r="R307" s="12">
        <f t="shared" si="13"/>
        <v>0</v>
      </c>
      <c r="S307" s="13">
        <f t="shared" si="14"/>
        <v>-44370.3125</v>
      </c>
    </row>
    <row r="308" spans="1:19" hidden="1" x14ac:dyDescent="0.2">
      <c r="A308" t="s">
        <v>845</v>
      </c>
      <c r="B308" t="s">
        <v>846</v>
      </c>
      <c r="C308" t="s">
        <v>3</v>
      </c>
      <c r="F308" s="5">
        <v>44381</v>
      </c>
      <c r="G308" t="s">
        <v>723</v>
      </c>
      <c r="H308" t="s">
        <v>5</v>
      </c>
      <c r="I308" s="5">
        <v>44380</v>
      </c>
      <c r="J308" s="5">
        <v>44371</v>
      </c>
      <c r="K308" s="6">
        <v>0.45833333333332998</v>
      </c>
      <c r="L308" s="5">
        <v>44371</v>
      </c>
      <c r="M308" s="6">
        <v>0.52083333333333004</v>
      </c>
      <c r="N308" s="5">
        <v>44381</v>
      </c>
      <c r="Q308" s="12">
        <f t="shared" si="12"/>
        <v>44371.458333333336</v>
      </c>
      <c r="R308" s="12">
        <f t="shared" si="13"/>
        <v>44371.520833333336</v>
      </c>
      <c r="S308" s="13">
        <f t="shared" si="14"/>
        <v>6.25E-2</v>
      </c>
    </row>
    <row r="309" spans="1:19" hidden="1" x14ac:dyDescent="0.2">
      <c r="A309" t="s">
        <v>847</v>
      </c>
      <c r="B309" t="s">
        <v>848</v>
      </c>
      <c r="C309" t="s">
        <v>3</v>
      </c>
      <c r="F309" s="5">
        <v>44381</v>
      </c>
      <c r="G309" t="s">
        <v>821</v>
      </c>
      <c r="H309" t="s">
        <v>5</v>
      </c>
      <c r="I309" s="5">
        <v>44380</v>
      </c>
      <c r="J309" s="5">
        <v>44372</v>
      </c>
      <c r="K309" s="6">
        <v>0.29166666666667002</v>
      </c>
      <c r="L309" s="5">
        <v>44372</v>
      </c>
      <c r="M309" s="6">
        <v>0.3125</v>
      </c>
      <c r="N309" s="5">
        <v>44381</v>
      </c>
      <c r="Q309" s="12">
        <f t="shared" si="12"/>
        <v>44372.291666666664</v>
      </c>
      <c r="R309" s="12">
        <f t="shared" si="13"/>
        <v>44372.3125</v>
      </c>
      <c r="S309" s="13">
        <f t="shared" si="14"/>
        <v>2.0833333335758653E-2</v>
      </c>
    </row>
    <row r="310" spans="1:19" hidden="1" x14ac:dyDescent="0.2">
      <c r="A310" t="s">
        <v>849</v>
      </c>
      <c r="B310" t="s">
        <v>850</v>
      </c>
      <c r="C310" t="s">
        <v>3</v>
      </c>
      <c r="F310" s="5">
        <v>44381</v>
      </c>
      <c r="G310" t="s">
        <v>851</v>
      </c>
      <c r="H310" t="s">
        <v>5</v>
      </c>
      <c r="I310" s="5">
        <v>44380</v>
      </c>
      <c r="J310" s="5">
        <v>44372</v>
      </c>
      <c r="K310" s="6">
        <v>0.41666666666667002</v>
      </c>
      <c r="L310" s="5"/>
      <c r="M310" s="6">
        <v>0</v>
      </c>
      <c r="N310" s="5">
        <v>44381</v>
      </c>
      <c r="Q310" s="12">
        <f t="shared" si="12"/>
        <v>44372.416666666664</v>
      </c>
      <c r="R310" s="12">
        <f t="shared" si="13"/>
        <v>0</v>
      </c>
      <c r="S310" s="13">
        <f t="shared" si="14"/>
        <v>-44372.416666666664</v>
      </c>
    </row>
    <row r="311" spans="1:19" hidden="1" x14ac:dyDescent="0.2">
      <c r="A311" t="s">
        <v>852</v>
      </c>
      <c r="B311" t="s">
        <v>853</v>
      </c>
      <c r="C311" t="s">
        <v>3</v>
      </c>
      <c r="F311" s="5">
        <v>44382</v>
      </c>
      <c r="G311" t="s">
        <v>563</v>
      </c>
      <c r="H311" t="s">
        <v>5</v>
      </c>
      <c r="I311" s="5">
        <v>44381</v>
      </c>
      <c r="J311" s="5">
        <v>44362</v>
      </c>
      <c r="K311" s="6">
        <v>0.66666666666666996</v>
      </c>
      <c r="L311" s="5">
        <v>44362</v>
      </c>
      <c r="M311" s="6">
        <v>0.6875</v>
      </c>
      <c r="N311" s="5">
        <v>44382</v>
      </c>
      <c r="Q311" s="12">
        <f t="shared" si="12"/>
        <v>44362.666666666664</v>
      </c>
      <c r="R311" s="12">
        <f t="shared" si="13"/>
        <v>44362.6875</v>
      </c>
      <c r="S311" s="13">
        <f t="shared" si="14"/>
        <v>2.0833333335758653E-2</v>
      </c>
    </row>
    <row r="312" spans="1:19" hidden="1" x14ac:dyDescent="0.2">
      <c r="A312" t="s">
        <v>854</v>
      </c>
      <c r="B312" t="s">
        <v>855</v>
      </c>
      <c r="C312" t="s">
        <v>3</v>
      </c>
      <c r="F312" s="5">
        <v>44382</v>
      </c>
      <c r="G312" t="s">
        <v>723</v>
      </c>
      <c r="H312" t="s">
        <v>5</v>
      </c>
      <c r="I312" s="5">
        <v>44381</v>
      </c>
      <c r="J312" s="5">
        <v>44373</v>
      </c>
      <c r="K312" s="6">
        <v>0.45833333333332998</v>
      </c>
      <c r="L312" s="5"/>
      <c r="M312" s="6">
        <v>0</v>
      </c>
      <c r="N312" s="5">
        <v>44382</v>
      </c>
      <c r="Q312" s="12">
        <f t="shared" si="12"/>
        <v>44373.458333333336</v>
      </c>
      <c r="R312" s="12">
        <f t="shared" si="13"/>
        <v>0</v>
      </c>
      <c r="S312" s="13">
        <f t="shared" si="14"/>
        <v>-44373.458333333336</v>
      </c>
    </row>
    <row r="313" spans="1:19" x14ac:dyDescent="0.2">
      <c r="A313" t="s">
        <v>856</v>
      </c>
      <c r="B313" t="s">
        <v>857</v>
      </c>
      <c r="C313" t="s">
        <v>3</v>
      </c>
      <c r="E313" s="11" t="s">
        <v>1268</v>
      </c>
      <c r="F313" s="5">
        <v>44383</v>
      </c>
      <c r="G313" t="s">
        <v>210</v>
      </c>
      <c r="H313" t="s">
        <v>5</v>
      </c>
      <c r="I313" s="5">
        <v>44377</v>
      </c>
      <c r="J313" s="5">
        <v>44377</v>
      </c>
      <c r="K313" s="6">
        <v>0.625</v>
      </c>
      <c r="L313" s="5">
        <v>44377</v>
      </c>
      <c r="M313" s="6">
        <v>0.63888888888888995</v>
      </c>
      <c r="N313" s="5">
        <v>44383</v>
      </c>
      <c r="Q313" s="12">
        <f t="shared" si="12"/>
        <v>44377.625</v>
      </c>
      <c r="R313" s="12">
        <f t="shared" si="13"/>
        <v>44377.638888888891</v>
      </c>
      <c r="S313" s="13">
        <f t="shared" si="14"/>
        <v>1.3888888890505768E-2</v>
      </c>
    </row>
    <row r="314" spans="1:19" hidden="1" x14ac:dyDescent="0.2">
      <c r="A314" t="s">
        <v>858</v>
      </c>
      <c r="B314" t="s">
        <v>859</v>
      </c>
      <c r="C314" t="s">
        <v>3</v>
      </c>
      <c r="F314" s="5">
        <v>44384</v>
      </c>
      <c r="G314" t="s">
        <v>860</v>
      </c>
      <c r="H314" t="s">
        <v>15</v>
      </c>
      <c r="I314" s="5">
        <v>44383</v>
      </c>
      <c r="J314" s="5">
        <v>44377</v>
      </c>
      <c r="K314" s="6">
        <v>0.41666666666667002</v>
      </c>
      <c r="L314" s="5">
        <v>44377</v>
      </c>
      <c r="M314" s="6">
        <v>0.45833333333332998</v>
      </c>
      <c r="N314" s="5">
        <v>44384</v>
      </c>
      <c r="Q314" s="12">
        <f t="shared" si="12"/>
        <v>44377.416666666664</v>
      </c>
      <c r="R314" s="12">
        <f t="shared" si="13"/>
        <v>44377.458333333336</v>
      </c>
      <c r="S314" s="13">
        <f t="shared" si="14"/>
        <v>4.1666666671517305E-2</v>
      </c>
    </row>
    <row r="315" spans="1:19" hidden="1" x14ac:dyDescent="0.2">
      <c r="A315" t="s">
        <v>861</v>
      </c>
      <c r="B315" t="s">
        <v>862</v>
      </c>
      <c r="C315" t="s">
        <v>3</v>
      </c>
      <c r="D315" s="11" t="s">
        <v>1266</v>
      </c>
      <c r="F315" s="5">
        <v>44396</v>
      </c>
      <c r="G315" t="s">
        <v>863</v>
      </c>
      <c r="H315" t="s">
        <v>5</v>
      </c>
      <c r="I315" s="5">
        <v>44394</v>
      </c>
      <c r="J315" s="5">
        <v>44394</v>
      </c>
      <c r="K315" s="6">
        <v>0.54166666666666996</v>
      </c>
      <c r="L315" s="5">
        <v>44394</v>
      </c>
      <c r="M315" s="6">
        <v>0.66666666666666996</v>
      </c>
      <c r="N315" s="5">
        <v>44396</v>
      </c>
      <c r="Q315" s="12">
        <f t="shared" si="12"/>
        <v>44394.541666666664</v>
      </c>
      <c r="R315" s="12">
        <f t="shared" si="13"/>
        <v>44394.666666666664</v>
      </c>
      <c r="S315" s="13">
        <f t="shared" si="14"/>
        <v>0.125</v>
      </c>
    </row>
    <row r="316" spans="1:19" hidden="1" x14ac:dyDescent="0.2">
      <c r="A316" t="s">
        <v>864</v>
      </c>
      <c r="B316" t="s">
        <v>865</v>
      </c>
      <c r="C316" t="s">
        <v>3</v>
      </c>
      <c r="F316" s="5">
        <v>44397</v>
      </c>
      <c r="G316" t="s">
        <v>866</v>
      </c>
      <c r="H316" t="s">
        <v>5</v>
      </c>
      <c r="I316" s="5">
        <v>44396</v>
      </c>
      <c r="J316" s="5">
        <v>44382</v>
      </c>
      <c r="K316" s="6">
        <v>0.45833333333332998</v>
      </c>
      <c r="L316" s="5">
        <v>44382</v>
      </c>
      <c r="M316" s="6">
        <v>0.47916666666667002</v>
      </c>
      <c r="N316" s="5">
        <v>44397</v>
      </c>
      <c r="Q316" s="12">
        <f t="shared" si="12"/>
        <v>44382.458333333336</v>
      </c>
      <c r="R316" s="12">
        <f t="shared" si="13"/>
        <v>44382.479166666664</v>
      </c>
      <c r="S316" s="13">
        <f t="shared" si="14"/>
        <v>2.0833333328482695E-2</v>
      </c>
    </row>
    <row r="317" spans="1:19" hidden="1" x14ac:dyDescent="0.2">
      <c r="A317" t="s">
        <v>867</v>
      </c>
      <c r="B317" t="s">
        <v>868</v>
      </c>
      <c r="C317" t="s">
        <v>3</v>
      </c>
      <c r="F317" s="5">
        <v>44398</v>
      </c>
      <c r="G317" t="s">
        <v>869</v>
      </c>
      <c r="H317" t="s">
        <v>5</v>
      </c>
      <c r="I317" s="5">
        <v>44397</v>
      </c>
      <c r="J317" s="5">
        <v>44387</v>
      </c>
      <c r="K317" s="6">
        <v>0.83333333333333004</v>
      </c>
      <c r="L317" s="5">
        <v>44387</v>
      </c>
      <c r="M317" s="6">
        <v>0.95833333333333004</v>
      </c>
      <c r="N317" s="5">
        <v>44398</v>
      </c>
      <c r="Q317" s="12">
        <f t="shared" si="12"/>
        <v>44387.833333333336</v>
      </c>
      <c r="R317" s="12">
        <f t="shared" si="13"/>
        <v>44387.958333333336</v>
      </c>
      <c r="S317" s="13">
        <f t="shared" si="14"/>
        <v>0.125</v>
      </c>
    </row>
    <row r="318" spans="1:19" hidden="1" x14ac:dyDescent="0.2">
      <c r="A318" t="s">
        <v>870</v>
      </c>
      <c r="B318" t="s">
        <v>871</v>
      </c>
      <c r="C318" t="s">
        <v>3</v>
      </c>
      <c r="F318" s="5">
        <v>44400</v>
      </c>
      <c r="G318" t="s">
        <v>872</v>
      </c>
      <c r="H318" t="s">
        <v>5</v>
      </c>
      <c r="I318" s="5">
        <v>44399</v>
      </c>
      <c r="J318" s="5">
        <v>44380</v>
      </c>
      <c r="K318" s="6">
        <v>0.41666666666667002</v>
      </c>
      <c r="L318" s="5">
        <v>44380</v>
      </c>
      <c r="M318" s="6">
        <v>0.45833333333332998</v>
      </c>
      <c r="N318" s="5">
        <v>44400</v>
      </c>
      <c r="Q318" s="12">
        <f t="shared" si="12"/>
        <v>44380.416666666664</v>
      </c>
      <c r="R318" s="12">
        <f t="shared" si="13"/>
        <v>44380.458333333336</v>
      </c>
      <c r="S318" s="13">
        <f t="shared" si="14"/>
        <v>4.1666666671517305E-2</v>
      </c>
    </row>
    <row r="319" spans="1:19" hidden="1" x14ac:dyDescent="0.2">
      <c r="A319" t="s">
        <v>873</v>
      </c>
      <c r="B319" t="s">
        <v>874</v>
      </c>
      <c r="C319" t="s">
        <v>3</v>
      </c>
      <c r="F319" s="5">
        <v>44404</v>
      </c>
      <c r="G319" t="s">
        <v>875</v>
      </c>
      <c r="H319" t="s">
        <v>5</v>
      </c>
      <c r="I319" s="5">
        <v>44403</v>
      </c>
      <c r="J319" s="5">
        <v>44392</v>
      </c>
      <c r="K319" s="6">
        <v>0.83333333333333004</v>
      </c>
      <c r="L319" s="5">
        <v>44392</v>
      </c>
      <c r="M319" s="6">
        <v>0.85416666666666996</v>
      </c>
      <c r="N319" s="5">
        <v>44404</v>
      </c>
      <c r="Q319" s="12">
        <f t="shared" si="12"/>
        <v>44392.833333333336</v>
      </c>
      <c r="R319" s="12">
        <f t="shared" si="13"/>
        <v>44392.854166666664</v>
      </c>
      <c r="S319" s="13">
        <f t="shared" si="14"/>
        <v>2.0833333328482695E-2</v>
      </c>
    </row>
    <row r="320" spans="1:19" hidden="1" x14ac:dyDescent="0.2">
      <c r="A320" t="s">
        <v>876</v>
      </c>
      <c r="B320" t="s">
        <v>877</v>
      </c>
      <c r="C320" t="s">
        <v>3</v>
      </c>
      <c r="D320" s="11" t="s">
        <v>1266</v>
      </c>
      <c r="F320" s="5">
        <v>44404</v>
      </c>
      <c r="G320" t="s">
        <v>39</v>
      </c>
      <c r="H320" t="s">
        <v>5</v>
      </c>
      <c r="I320" s="5">
        <v>44403</v>
      </c>
      <c r="J320" s="5">
        <v>44394</v>
      </c>
      <c r="K320" s="6">
        <v>0.125</v>
      </c>
      <c r="L320" s="5">
        <v>44394</v>
      </c>
      <c r="M320" s="6">
        <v>0.25</v>
      </c>
      <c r="N320" s="5">
        <v>44404</v>
      </c>
      <c r="Q320" s="12">
        <f t="shared" si="12"/>
        <v>44394.125</v>
      </c>
      <c r="R320" s="12">
        <f t="shared" si="13"/>
        <v>44394.25</v>
      </c>
      <c r="S320" s="13">
        <f t="shared" si="14"/>
        <v>0.125</v>
      </c>
    </row>
    <row r="321" spans="1:19" hidden="1" x14ac:dyDescent="0.2">
      <c r="A321" t="s">
        <v>878</v>
      </c>
      <c r="B321" t="s">
        <v>879</v>
      </c>
      <c r="C321" t="s">
        <v>3</v>
      </c>
      <c r="F321" s="5">
        <v>44404</v>
      </c>
      <c r="G321" t="s">
        <v>880</v>
      </c>
      <c r="H321" t="s">
        <v>5</v>
      </c>
      <c r="I321" s="5">
        <v>44403</v>
      </c>
      <c r="J321" s="5">
        <v>44396</v>
      </c>
      <c r="K321" s="6">
        <v>0.54166666666666996</v>
      </c>
      <c r="L321" s="5">
        <v>44396</v>
      </c>
      <c r="M321" s="6">
        <v>0.55555555555556002</v>
      </c>
      <c r="N321" s="5">
        <v>44404</v>
      </c>
      <c r="Q321" s="12">
        <f t="shared" si="12"/>
        <v>44396.541666666664</v>
      </c>
      <c r="R321" s="12">
        <f t="shared" si="13"/>
        <v>44396.555555555555</v>
      </c>
      <c r="S321" s="13">
        <f t="shared" si="14"/>
        <v>1.3888888890505768E-2</v>
      </c>
    </row>
    <row r="322" spans="1:19" hidden="1" x14ac:dyDescent="0.2">
      <c r="A322" t="s">
        <v>881</v>
      </c>
      <c r="B322" t="s">
        <v>882</v>
      </c>
      <c r="C322" t="s">
        <v>3</v>
      </c>
      <c r="F322" s="5">
        <v>44408</v>
      </c>
      <c r="G322" t="s">
        <v>880</v>
      </c>
      <c r="H322" t="s">
        <v>5</v>
      </c>
      <c r="I322" s="5">
        <v>44404</v>
      </c>
      <c r="J322" s="5">
        <v>44403</v>
      </c>
      <c r="K322" s="6">
        <v>0.79166666666666996</v>
      </c>
      <c r="L322" s="5">
        <v>44403</v>
      </c>
      <c r="M322" s="6">
        <v>0.8125</v>
      </c>
      <c r="N322" s="5">
        <v>44408</v>
      </c>
      <c r="Q322" s="12">
        <f t="shared" si="12"/>
        <v>44403.791666666664</v>
      </c>
      <c r="R322" s="12">
        <f t="shared" si="13"/>
        <v>44403.8125</v>
      </c>
      <c r="S322" s="13">
        <f t="shared" si="14"/>
        <v>2.0833333335758653E-2</v>
      </c>
    </row>
    <row r="323" spans="1:19" hidden="1" x14ac:dyDescent="0.2">
      <c r="A323" t="s">
        <v>883</v>
      </c>
      <c r="B323" t="s">
        <v>884</v>
      </c>
      <c r="C323" t="s">
        <v>3</v>
      </c>
      <c r="F323" s="5">
        <v>44408</v>
      </c>
      <c r="G323" t="s">
        <v>885</v>
      </c>
      <c r="H323" t="s">
        <v>5</v>
      </c>
      <c r="I323" s="5">
        <v>44404</v>
      </c>
      <c r="J323" s="5">
        <v>44403</v>
      </c>
      <c r="K323" s="6">
        <v>0.93055555555556002</v>
      </c>
      <c r="L323" s="5">
        <v>44403</v>
      </c>
      <c r="M323" s="6">
        <v>0.99305555555556002</v>
      </c>
      <c r="N323" s="5">
        <v>44408</v>
      </c>
      <c r="Q323" s="12">
        <f t="shared" si="12"/>
        <v>44403.930555555555</v>
      </c>
      <c r="R323" s="12">
        <f t="shared" si="13"/>
        <v>44403.993055555555</v>
      </c>
      <c r="S323" s="13">
        <f t="shared" si="14"/>
        <v>6.25E-2</v>
      </c>
    </row>
    <row r="324" spans="1:19" hidden="1" x14ac:dyDescent="0.2">
      <c r="A324" t="s">
        <v>886</v>
      </c>
      <c r="B324" t="s">
        <v>887</v>
      </c>
      <c r="C324" t="s">
        <v>3</v>
      </c>
      <c r="F324" s="5">
        <v>44410</v>
      </c>
      <c r="G324" t="s">
        <v>885</v>
      </c>
      <c r="H324" t="s">
        <v>5</v>
      </c>
      <c r="I324" s="5">
        <v>44404</v>
      </c>
      <c r="J324" s="5">
        <v>44404</v>
      </c>
      <c r="K324" s="6">
        <v>0.11111111111110999</v>
      </c>
      <c r="L324" s="5">
        <v>44404</v>
      </c>
      <c r="M324" s="6">
        <v>0.15277777777778001</v>
      </c>
      <c r="N324" s="5">
        <v>44410</v>
      </c>
      <c r="Q324" s="12">
        <f t="shared" ref="Q324:Q387" si="15">J324+K324</f>
        <v>44404.111111111109</v>
      </c>
      <c r="R324" s="12">
        <f t="shared" ref="R324:R387" si="16">L324+M324</f>
        <v>44404.152777777781</v>
      </c>
      <c r="S324" s="13">
        <f t="shared" ref="S324:S387" si="17">R324-Q324</f>
        <v>4.1666666671517305E-2</v>
      </c>
    </row>
    <row r="325" spans="1:19" hidden="1" x14ac:dyDescent="0.2">
      <c r="A325" t="s">
        <v>888</v>
      </c>
      <c r="B325" t="s">
        <v>889</v>
      </c>
      <c r="C325" t="s">
        <v>3</v>
      </c>
      <c r="F325" s="5">
        <v>44413</v>
      </c>
      <c r="G325" t="s">
        <v>890</v>
      </c>
      <c r="H325" t="s">
        <v>15</v>
      </c>
      <c r="I325" s="5">
        <v>44408</v>
      </c>
      <c r="J325" s="5">
        <v>44408</v>
      </c>
      <c r="K325" s="6">
        <v>0.41666666666667002</v>
      </c>
      <c r="L325" s="5">
        <v>44408</v>
      </c>
      <c r="M325" s="6">
        <v>0.4375</v>
      </c>
      <c r="N325" s="5">
        <v>44413</v>
      </c>
      <c r="Q325" s="12">
        <f t="shared" si="15"/>
        <v>44408.416666666664</v>
      </c>
      <c r="R325" s="12">
        <f t="shared" si="16"/>
        <v>44408.4375</v>
      </c>
      <c r="S325" s="13">
        <f t="shared" si="17"/>
        <v>2.0833333335758653E-2</v>
      </c>
    </row>
    <row r="326" spans="1:19" hidden="1" x14ac:dyDescent="0.2">
      <c r="A326" t="s">
        <v>891</v>
      </c>
      <c r="B326" t="s">
        <v>892</v>
      </c>
      <c r="C326" t="s">
        <v>3</v>
      </c>
      <c r="F326" s="5">
        <v>44413</v>
      </c>
      <c r="G326" t="s">
        <v>890</v>
      </c>
      <c r="H326" t="s">
        <v>15</v>
      </c>
      <c r="I326" s="5">
        <v>44408</v>
      </c>
      <c r="J326" s="5">
        <v>44408</v>
      </c>
      <c r="K326" s="6">
        <v>0.4375</v>
      </c>
      <c r="L326" s="5">
        <v>44408</v>
      </c>
      <c r="M326" s="6">
        <v>0.45833333333332998</v>
      </c>
      <c r="N326" s="5">
        <v>44413</v>
      </c>
      <c r="Q326" s="12">
        <f t="shared" si="15"/>
        <v>44408.4375</v>
      </c>
      <c r="R326" s="12">
        <f t="shared" si="16"/>
        <v>44408.458333333336</v>
      </c>
      <c r="S326" s="13">
        <f t="shared" si="17"/>
        <v>2.0833333335758653E-2</v>
      </c>
    </row>
    <row r="327" spans="1:19" hidden="1" x14ac:dyDescent="0.2">
      <c r="A327" t="s">
        <v>893</v>
      </c>
      <c r="B327" t="s">
        <v>894</v>
      </c>
      <c r="C327" t="s">
        <v>3</v>
      </c>
      <c r="F327" s="5">
        <v>44413</v>
      </c>
      <c r="G327" t="s">
        <v>895</v>
      </c>
      <c r="H327" t="s">
        <v>5</v>
      </c>
      <c r="I327" s="5">
        <v>44413</v>
      </c>
      <c r="J327" s="5">
        <v>44411</v>
      </c>
      <c r="K327" s="6">
        <v>0.95833333333333004</v>
      </c>
      <c r="L327" s="5">
        <v>44411</v>
      </c>
      <c r="M327" s="6">
        <v>0.98611111111111005</v>
      </c>
      <c r="N327" s="5">
        <v>44413</v>
      </c>
      <c r="Q327" s="12">
        <f t="shared" si="15"/>
        <v>44411.958333333336</v>
      </c>
      <c r="R327" s="12">
        <f t="shared" si="16"/>
        <v>44411.986111111109</v>
      </c>
      <c r="S327" s="13">
        <f t="shared" si="17"/>
        <v>2.7777777773735579E-2</v>
      </c>
    </row>
    <row r="328" spans="1:19" hidden="1" x14ac:dyDescent="0.2">
      <c r="A328" t="s">
        <v>896</v>
      </c>
      <c r="B328" t="s">
        <v>897</v>
      </c>
      <c r="C328" t="s">
        <v>3</v>
      </c>
      <c r="F328" s="5">
        <v>44414</v>
      </c>
      <c r="G328" t="s">
        <v>898</v>
      </c>
      <c r="H328" t="s">
        <v>15</v>
      </c>
      <c r="I328" s="5">
        <v>44408</v>
      </c>
      <c r="J328" s="5">
        <v>44408</v>
      </c>
      <c r="K328" s="6">
        <v>0.22916666666666999</v>
      </c>
      <c r="L328" s="5"/>
      <c r="M328" s="6">
        <v>0</v>
      </c>
      <c r="N328" s="5">
        <v>44414</v>
      </c>
      <c r="Q328" s="12">
        <f t="shared" si="15"/>
        <v>44408.229166666664</v>
      </c>
      <c r="R328" s="12">
        <f t="shared" si="16"/>
        <v>0</v>
      </c>
      <c r="S328" s="13">
        <f t="shared" si="17"/>
        <v>-44408.229166666664</v>
      </c>
    </row>
    <row r="329" spans="1:19" hidden="1" x14ac:dyDescent="0.2">
      <c r="A329" t="s">
        <v>899</v>
      </c>
      <c r="B329" t="s">
        <v>900</v>
      </c>
      <c r="C329" t="s">
        <v>3</v>
      </c>
      <c r="F329" s="5">
        <v>44414</v>
      </c>
      <c r="G329" t="s">
        <v>901</v>
      </c>
      <c r="H329" t="s">
        <v>327</v>
      </c>
      <c r="I329" s="5">
        <v>44413</v>
      </c>
      <c r="J329" s="5">
        <v>44389</v>
      </c>
      <c r="K329" s="6">
        <v>0.58333333333333004</v>
      </c>
      <c r="L329" s="5">
        <v>44389</v>
      </c>
      <c r="M329" s="6">
        <v>0.625</v>
      </c>
      <c r="N329" s="5">
        <v>44414</v>
      </c>
      <c r="Q329" s="12">
        <f t="shared" si="15"/>
        <v>44389.583333333336</v>
      </c>
      <c r="R329" s="12">
        <f t="shared" si="16"/>
        <v>44389.625</v>
      </c>
      <c r="S329" s="13">
        <f t="shared" si="17"/>
        <v>4.1666666664241347E-2</v>
      </c>
    </row>
    <row r="330" spans="1:19" x14ac:dyDescent="0.2">
      <c r="A330" t="s">
        <v>902</v>
      </c>
      <c r="B330" t="s">
        <v>903</v>
      </c>
      <c r="C330" t="s">
        <v>3</v>
      </c>
      <c r="E330" s="11" t="s">
        <v>1268</v>
      </c>
      <c r="F330" s="5">
        <v>44415</v>
      </c>
      <c r="G330" t="s">
        <v>904</v>
      </c>
      <c r="H330" t="s">
        <v>5</v>
      </c>
      <c r="I330" s="5">
        <v>44415</v>
      </c>
      <c r="J330" s="5">
        <v>44415</v>
      </c>
      <c r="K330" s="6">
        <v>0.1875</v>
      </c>
      <c r="L330" s="5">
        <v>44415</v>
      </c>
      <c r="M330" s="6">
        <v>0.20138888888889001</v>
      </c>
      <c r="N330" s="5">
        <v>44415</v>
      </c>
      <c r="Q330" s="12">
        <f t="shared" si="15"/>
        <v>44415.1875</v>
      </c>
      <c r="R330" s="12">
        <f t="shared" si="16"/>
        <v>44415.201388888891</v>
      </c>
      <c r="S330" s="13">
        <f t="shared" si="17"/>
        <v>1.3888888890505768E-2</v>
      </c>
    </row>
    <row r="331" spans="1:19" hidden="1" x14ac:dyDescent="0.2">
      <c r="A331" t="s">
        <v>0</v>
      </c>
      <c r="B331" t="s">
        <v>905</v>
      </c>
      <c r="C331" t="s">
        <v>3</v>
      </c>
      <c r="F331" s="5">
        <v>44418</v>
      </c>
      <c r="G331" t="s">
        <v>906</v>
      </c>
      <c r="H331" t="s">
        <v>5</v>
      </c>
      <c r="I331" s="5">
        <v>44418</v>
      </c>
      <c r="J331" s="5"/>
      <c r="K331" s="6">
        <v>0</v>
      </c>
      <c r="L331" s="5"/>
      <c r="M331" s="6">
        <v>0</v>
      </c>
      <c r="N331" s="5">
        <v>44418</v>
      </c>
      <c r="Q331" s="12">
        <f t="shared" si="15"/>
        <v>0</v>
      </c>
      <c r="R331" s="12">
        <f t="shared" si="16"/>
        <v>0</v>
      </c>
      <c r="S331" s="13">
        <f t="shared" si="17"/>
        <v>0</v>
      </c>
    </row>
    <row r="332" spans="1:19" hidden="1" x14ac:dyDescent="0.2">
      <c r="A332" t="s">
        <v>907</v>
      </c>
      <c r="B332" t="s">
        <v>908</v>
      </c>
      <c r="C332" t="s">
        <v>3</v>
      </c>
      <c r="D332" s="11" t="s">
        <v>1266</v>
      </c>
      <c r="F332" s="5">
        <v>44422</v>
      </c>
      <c r="G332" t="s">
        <v>39</v>
      </c>
      <c r="H332" t="s">
        <v>5</v>
      </c>
      <c r="I332" s="5">
        <v>44421</v>
      </c>
      <c r="J332" s="5">
        <v>44414</v>
      </c>
      <c r="K332" s="6">
        <v>0.6875</v>
      </c>
      <c r="L332" s="5">
        <v>44414</v>
      </c>
      <c r="M332" s="6">
        <v>0.72916666666666996</v>
      </c>
      <c r="N332" s="5">
        <v>44422</v>
      </c>
      <c r="Q332" s="12">
        <f t="shared" si="15"/>
        <v>44414.6875</v>
      </c>
      <c r="R332" s="12">
        <f t="shared" si="16"/>
        <v>44414.729166666664</v>
      </c>
      <c r="S332" s="13">
        <f t="shared" si="17"/>
        <v>4.1666666664241347E-2</v>
      </c>
    </row>
    <row r="333" spans="1:19" hidden="1" x14ac:dyDescent="0.2">
      <c r="A333" t="s">
        <v>909</v>
      </c>
      <c r="B333" t="s">
        <v>910</v>
      </c>
      <c r="C333" t="s">
        <v>3</v>
      </c>
      <c r="F333" s="5">
        <v>44424</v>
      </c>
      <c r="G333" t="s">
        <v>911</v>
      </c>
      <c r="H333" t="s">
        <v>5</v>
      </c>
      <c r="I333" s="5">
        <v>44420</v>
      </c>
      <c r="J333" s="5">
        <v>44418</v>
      </c>
      <c r="K333" s="6">
        <v>0.52083333333333004</v>
      </c>
      <c r="L333" s="5">
        <v>44418</v>
      </c>
      <c r="M333" s="6">
        <v>0.54166666666666996</v>
      </c>
      <c r="N333" s="5">
        <v>44424</v>
      </c>
      <c r="Q333" s="12">
        <f t="shared" si="15"/>
        <v>44418.520833333336</v>
      </c>
      <c r="R333" s="12">
        <f t="shared" si="16"/>
        <v>44418.541666666664</v>
      </c>
      <c r="S333" s="13">
        <f t="shared" si="17"/>
        <v>2.0833333328482695E-2</v>
      </c>
    </row>
    <row r="334" spans="1:19" hidden="1" x14ac:dyDescent="0.2">
      <c r="A334" t="s">
        <v>912</v>
      </c>
      <c r="B334" t="s">
        <v>913</v>
      </c>
      <c r="C334" t="s">
        <v>3</v>
      </c>
      <c r="F334" s="5">
        <v>44428</v>
      </c>
      <c r="G334" t="s">
        <v>914</v>
      </c>
      <c r="H334" t="s">
        <v>5</v>
      </c>
      <c r="I334" s="5">
        <v>44433</v>
      </c>
      <c r="J334" s="5">
        <v>44424</v>
      </c>
      <c r="K334" s="6">
        <v>0.54166666666666996</v>
      </c>
      <c r="L334" s="5">
        <v>44424</v>
      </c>
      <c r="M334" s="6">
        <v>0.5625</v>
      </c>
      <c r="N334" s="5">
        <v>44428</v>
      </c>
      <c r="Q334" s="12">
        <f t="shared" si="15"/>
        <v>44424.541666666664</v>
      </c>
      <c r="R334" s="12">
        <f t="shared" si="16"/>
        <v>44424.5625</v>
      </c>
      <c r="S334" s="13">
        <f t="shared" si="17"/>
        <v>2.0833333335758653E-2</v>
      </c>
    </row>
    <row r="335" spans="1:19" hidden="1" x14ac:dyDescent="0.2">
      <c r="A335" t="s">
        <v>915</v>
      </c>
      <c r="B335" t="s">
        <v>916</v>
      </c>
      <c r="C335" t="s">
        <v>3</v>
      </c>
      <c r="F335" s="5">
        <v>44447</v>
      </c>
      <c r="G335" t="s">
        <v>723</v>
      </c>
      <c r="H335" t="s">
        <v>5</v>
      </c>
      <c r="I335" s="5">
        <v>44447</v>
      </c>
      <c r="J335" s="5">
        <v>44447</v>
      </c>
      <c r="K335" s="6">
        <v>4.1666666666670002E-2</v>
      </c>
      <c r="L335" s="5">
        <v>44447</v>
      </c>
      <c r="M335" s="6">
        <v>0.16666666666666999</v>
      </c>
      <c r="N335" s="5">
        <v>44447</v>
      </c>
      <c r="Q335" s="12">
        <f t="shared" si="15"/>
        <v>44447.041666666664</v>
      </c>
      <c r="R335" s="12">
        <f t="shared" si="16"/>
        <v>44447.166666666664</v>
      </c>
      <c r="S335" s="13">
        <f t="shared" si="17"/>
        <v>0.125</v>
      </c>
    </row>
    <row r="336" spans="1:19" hidden="1" x14ac:dyDescent="0.2">
      <c r="A336" t="s">
        <v>917</v>
      </c>
      <c r="B336" t="s">
        <v>918</v>
      </c>
      <c r="C336" t="s">
        <v>3</v>
      </c>
      <c r="F336" s="5">
        <v>44463</v>
      </c>
      <c r="G336" t="s">
        <v>919</v>
      </c>
      <c r="H336" t="s">
        <v>5</v>
      </c>
      <c r="I336" s="5">
        <v>44462</v>
      </c>
      <c r="J336" s="5">
        <v>44461</v>
      </c>
      <c r="K336" s="6">
        <v>4.1666666666670002E-2</v>
      </c>
      <c r="L336" s="5">
        <v>44461</v>
      </c>
      <c r="M336" s="6">
        <v>6.9444444444440007E-2</v>
      </c>
      <c r="N336" s="5">
        <v>44463</v>
      </c>
      <c r="Q336" s="12">
        <f t="shared" si="15"/>
        <v>44461.041666666664</v>
      </c>
      <c r="R336" s="12">
        <f t="shared" si="16"/>
        <v>44461.069444444445</v>
      </c>
      <c r="S336" s="13">
        <f t="shared" si="17"/>
        <v>2.7777777781011537E-2</v>
      </c>
    </row>
    <row r="337" spans="1:19" x14ac:dyDescent="0.2">
      <c r="A337" t="s">
        <v>920</v>
      </c>
      <c r="B337" t="s">
        <v>921</v>
      </c>
      <c r="C337" t="s">
        <v>3</v>
      </c>
      <c r="E337" s="11" t="s">
        <v>1268</v>
      </c>
      <c r="F337" s="5">
        <v>44468</v>
      </c>
      <c r="G337" t="s">
        <v>922</v>
      </c>
      <c r="H337" t="s">
        <v>5</v>
      </c>
      <c r="I337" s="5">
        <v>44467</v>
      </c>
      <c r="J337" s="5">
        <v>44467</v>
      </c>
      <c r="K337" s="6">
        <v>8.3333333333329998E-2</v>
      </c>
      <c r="L337" s="5">
        <v>44467</v>
      </c>
      <c r="M337" s="6">
        <v>9.7222222222220003E-2</v>
      </c>
      <c r="N337" s="5">
        <v>44468</v>
      </c>
      <c r="Q337" s="12">
        <f t="shared" si="15"/>
        <v>44467.083333333336</v>
      </c>
      <c r="R337" s="12">
        <f t="shared" si="16"/>
        <v>44467.097222222219</v>
      </c>
      <c r="S337" s="13">
        <f t="shared" si="17"/>
        <v>1.3888888883229811E-2</v>
      </c>
    </row>
    <row r="338" spans="1:19" hidden="1" x14ac:dyDescent="0.2">
      <c r="A338" t="s">
        <v>923</v>
      </c>
      <c r="B338" t="s">
        <v>924</v>
      </c>
      <c r="C338" t="s">
        <v>3</v>
      </c>
      <c r="F338" s="5">
        <v>44468</v>
      </c>
      <c r="G338" t="s">
        <v>925</v>
      </c>
      <c r="H338" t="s">
        <v>5</v>
      </c>
      <c r="I338" s="5">
        <v>44468</v>
      </c>
      <c r="J338" s="5">
        <v>44468</v>
      </c>
      <c r="K338" s="6">
        <v>0.20833333333333001</v>
      </c>
      <c r="L338" s="5">
        <v>44468</v>
      </c>
      <c r="M338" s="6">
        <v>0.22916666666666999</v>
      </c>
      <c r="N338" s="5">
        <v>44468</v>
      </c>
      <c r="Q338" s="12">
        <f t="shared" si="15"/>
        <v>44468.208333333336</v>
      </c>
      <c r="R338" s="12">
        <f t="shared" si="16"/>
        <v>44468.229166666664</v>
      </c>
      <c r="S338" s="13">
        <f t="shared" si="17"/>
        <v>2.0833333328482695E-2</v>
      </c>
    </row>
    <row r="339" spans="1:19" hidden="1" x14ac:dyDescent="0.2">
      <c r="A339" t="s">
        <v>926</v>
      </c>
      <c r="B339" t="s">
        <v>927</v>
      </c>
      <c r="C339" t="s">
        <v>3</v>
      </c>
      <c r="D339" s="11" t="s">
        <v>1268</v>
      </c>
      <c r="F339" s="5">
        <v>44470</v>
      </c>
      <c r="G339" t="s">
        <v>928</v>
      </c>
      <c r="H339" t="s">
        <v>5</v>
      </c>
      <c r="I339" s="5">
        <v>44464</v>
      </c>
      <c r="J339" s="5">
        <v>44464</v>
      </c>
      <c r="K339" s="6">
        <v>0.33333333333332998</v>
      </c>
      <c r="L339" s="5">
        <v>44464</v>
      </c>
      <c r="M339" s="6">
        <v>0.41666666666667002</v>
      </c>
      <c r="N339" s="5">
        <v>44470</v>
      </c>
      <c r="Q339" s="12">
        <f t="shared" si="15"/>
        <v>44464.333333333336</v>
      </c>
      <c r="R339" s="12">
        <f t="shared" si="16"/>
        <v>44464.416666666664</v>
      </c>
      <c r="S339" s="13">
        <f t="shared" si="17"/>
        <v>8.3333333328482695E-2</v>
      </c>
    </row>
    <row r="340" spans="1:19" hidden="1" x14ac:dyDescent="0.2">
      <c r="A340" t="s">
        <v>929</v>
      </c>
      <c r="B340" t="s">
        <v>930</v>
      </c>
      <c r="C340" t="s">
        <v>3</v>
      </c>
      <c r="F340" s="5">
        <v>44471</v>
      </c>
      <c r="G340" t="s">
        <v>931</v>
      </c>
      <c r="H340" t="s">
        <v>5</v>
      </c>
      <c r="I340" s="5">
        <v>44469</v>
      </c>
      <c r="J340" s="5">
        <v>44469</v>
      </c>
      <c r="K340" s="6">
        <v>0.375</v>
      </c>
      <c r="L340" s="5">
        <v>44469</v>
      </c>
      <c r="M340" s="6">
        <v>0.38888888888889001</v>
      </c>
      <c r="N340" s="5">
        <v>44471</v>
      </c>
      <c r="Q340" s="12">
        <f t="shared" si="15"/>
        <v>44469.375</v>
      </c>
      <c r="R340" s="12">
        <f t="shared" si="16"/>
        <v>44469.388888888891</v>
      </c>
      <c r="S340" s="13">
        <f t="shared" si="17"/>
        <v>1.3888888890505768E-2</v>
      </c>
    </row>
    <row r="341" spans="1:19" hidden="1" x14ac:dyDescent="0.2">
      <c r="A341" t="s">
        <v>932</v>
      </c>
      <c r="B341" t="s">
        <v>933</v>
      </c>
      <c r="C341" t="s">
        <v>3</v>
      </c>
      <c r="F341" s="5">
        <v>44471</v>
      </c>
      <c r="G341" t="s">
        <v>934</v>
      </c>
      <c r="H341" t="s">
        <v>5</v>
      </c>
      <c r="I341" s="5">
        <v>44468</v>
      </c>
      <c r="J341" s="5">
        <v>44468</v>
      </c>
      <c r="K341" s="6">
        <v>0.5</v>
      </c>
      <c r="L341" s="5">
        <v>44468</v>
      </c>
      <c r="M341" s="6">
        <v>0.52777777777778001</v>
      </c>
      <c r="N341" s="5">
        <v>44471</v>
      </c>
      <c r="Q341" s="12">
        <f t="shared" si="15"/>
        <v>44468.5</v>
      </c>
      <c r="R341" s="12">
        <f t="shared" si="16"/>
        <v>44468.527777777781</v>
      </c>
      <c r="S341" s="13">
        <f t="shared" si="17"/>
        <v>2.7777777781011537E-2</v>
      </c>
    </row>
    <row r="342" spans="1:19" hidden="1" x14ac:dyDescent="0.2">
      <c r="A342" t="s">
        <v>935</v>
      </c>
      <c r="B342" t="s">
        <v>936</v>
      </c>
      <c r="C342" t="s">
        <v>3</v>
      </c>
      <c r="F342" s="5">
        <v>44471</v>
      </c>
      <c r="G342" t="s">
        <v>931</v>
      </c>
      <c r="H342" t="s">
        <v>5</v>
      </c>
      <c r="I342" s="5">
        <v>44469</v>
      </c>
      <c r="J342" s="5">
        <v>44469</v>
      </c>
      <c r="K342" s="6">
        <v>0.41666666666667002</v>
      </c>
      <c r="L342" s="5">
        <v>44469</v>
      </c>
      <c r="M342" s="6">
        <v>0.4375</v>
      </c>
      <c r="N342" s="5">
        <v>44471</v>
      </c>
      <c r="Q342" s="12">
        <f t="shared" si="15"/>
        <v>44469.416666666664</v>
      </c>
      <c r="R342" s="12">
        <f t="shared" si="16"/>
        <v>44469.4375</v>
      </c>
      <c r="S342" s="13">
        <f t="shared" si="17"/>
        <v>2.0833333335758653E-2</v>
      </c>
    </row>
    <row r="343" spans="1:19" hidden="1" x14ac:dyDescent="0.2">
      <c r="A343" t="s">
        <v>937</v>
      </c>
      <c r="B343" t="s">
        <v>938</v>
      </c>
      <c r="C343" t="s">
        <v>3</v>
      </c>
      <c r="F343" s="5">
        <v>44474</v>
      </c>
      <c r="G343" t="s">
        <v>939</v>
      </c>
      <c r="H343" t="s">
        <v>5</v>
      </c>
      <c r="I343" s="5">
        <v>44474</v>
      </c>
      <c r="J343" s="5">
        <v>44474</v>
      </c>
      <c r="K343" s="6">
        <v>0.16666666666666999</v>
      </c>
      <c r="L343" s="5">
        <v>44474</v>
      </c>
      <c r="M343" s="6">
        <v>0.19444444444444001</v>
      </c>
      <c r="N343" s="5">
        <v>44474</v>
      </c>
      <c r="Q343" s="12">
        <f t="shared" si="15"/>
        <v>44474.166666666664</v>
      </c>
      <c r="R343" s="12">
        <f t="shared" si="16"/>
        <v>44474.194444444445</v>
      </c>
      <c r="S343" s="13">
        <f t="shared" si="17"/>
        <v>2.7777777781011537E-2</v>
      </c>
    </row>
    <row r="344" spans="1:19" hidden="1" x14ac:dyDescent="0.2">
      <c r="A344" t="s">
        <v>940</v>
      </c>
      <c r="B344" t="s">
        <v>941</v>
      </c>
      <c r="C344" t="s">
        <v>3</v>
      </c>
      <c r="F344" s="5">
        <v>44474</v>
      </c>
      <c r="G344" t="s">
        <v>942</v>
      </c>
      <c r="H344" t="s">
        <v>5</v>
      </c>
      <c r="I344" s="5">
        <v>44471</v>
      </c>
      <c r="J344" s="5">
        <v>44470</v>
      </c>
      <c r="K344" s="6">
        <v>0.72916666666666996</v>
      </c>
      <c r="L344" s="5">
        <v>44470</v>
      </c>
      <c r="M344" s="6">
        <v>0.75</v>
      </c>
      <c r="N344" s="5">
        <v>44474</v>
      </c>
      <c r="Q344" s="12">
        <f t="shared" si="15"/>
        <v>44470.729166666664</v>
      </c>
      <c r="R344" s="12">
        <f t="shared" si="16"/>
        <v>44470.75</v>
      </c>
      <c r="S344" s="13">
        <f t="shared" si="17"/>
        <v>2.0833333335758653E-2</v>
      </c>
    </row>
    <row r="345" spans="1:19" x14ac:dyDescent="0.2">
      <c r="A345" t="s">
        <v>943</v>
      </c>
      <c r="B345" t="s">
        <v>944</v>
      </c>
      <c r="C345" t="s">
        <v>3</v>
      </c>
      <c r="E345" s="11" t="s">
        <v>1268</v>
      </c>
      <c r="F345" s="5">
        <v>44474</v>
      </c>
      <c r="G345" t="s">
        <v>945</v>
      </c>
      <c r="H345" t="s">
        <v>5</v>
      </c>
      <c r="I345" s="5">
        <v>44471</v>
      </c>
      <c r="J345" s="5">
        <v>44471</v>
      </c>
      <c r="K345" s="6">
        <v>0.41666666666667002</v>
      </c>
      <c r="L345" s="5">
        <v>44471</v>
      </c>
      <c r="M345" s="6">
        <v>0.45833333333332998</v>
      </c>
      <c r="N345" s="5">
        <v>44474</v>
      </c>
      <c r="Q345" s="12">
        <f t="shared" si="15"/>
        <v>44471.416666666664</v>
      </c>
      <c r="R345" s="12">
        <f t="shared" si="16"/>
        <v>44471.458333333336</v>
      </c>
      <c r="S345" s="13">
        <f t="shared" si="17"/>
        <v>4.1666666671517305E-2</v>
      </c>
    </row>
    <row r="346" spans="1:19" x14ac:dyDescent="0.2">
      <c r="A346" t="s">
        <v>946</v>
      </c>
      <c r="B346" t="s">
        <v>947</v>
      </c>
      <c r="C346" t="s">
        <v>3</v>
      </c>
      <c r="E346" s="11" t="s">
        <v>1268</v>
      </c>
      <c r="F346" s="5">
        <v>44476</v>
      </c>
      <c r="G346" t="s">
        <v>948</v>
      </c>
      <c r="H346" t="s">
        <v>5</v>
      </c>
      <c r="I346" s="5">
        <v>44475</v>
      </c>
      <c r="J346" s="5">
        <v>44475</v>
      </c>
      <c r="K346" s="6">
        <v>8.3333333333329998E-2</v>
      </c>
      <c r="L346" s="5">
        <v>44475</v>
      </c>
      <c r="M346" s="6">
        <v>0.125</v>
      </c>
      <c r="N346" s="5">
        <v>44476</v>
      </c>
      <c r="Q346" s="12">
        <f t="shared" si="15"/>
        <v>44475.083333333336</v>
      </c>
      <c r="R346" s="12">
        <f t="shared" si="16"/>
        <v>44475.125</v>
      </c>
      <c r="S346" s="13">
        <f t="shared" si="17"/>
        <v>4.1666666664241347E-2</v>
      </c>
    </row>
    <row r="347" spans="1:19" hidden="1" x14ac:dyDescent="0.2">
      <c r="A347" t="s">
        <v>949</v>
      </c>
      <c r="B347" t="s">
        <v>950</v>
      </c>
      <c r="C347" t="s">
        <v>3</v>
      </c>
      <c r="F347" s="5">
        <v>44481</v>
      </c>
      <c r="G347" t="s">
        <v>925</v>
      </c>
      <c r="H347" t="s">
        <v>5</v>
      </c>
      <c r="I347" s="5">
        <v>44480</v>
      </c>
      <c r="J347" s="5">
        <v>44471</v>
      </c>
      <c r="K347" s="6">
        <v>0</v>
      </c>
      <c r="L347" s="5">
        <v>44471</v>
      </c>
      <c r="M347" s="6">
        <v>2.0833333333330002E-2</v>
      </c>
      <c r="N347" s="5">
        <v>44481</v>
      </c>
      <c r="Q347" s="12">
        <f t="shared" si="15"/>
        <v>44471</v>
      </c>
      <c r="R347" s="12">
        <f t="shared" si="16"/>
        <v>44471.020833333336</v>
      </c>
      <c r="S347" s="13">
        <f t="shared" si="17"/>
        <v>2.0833333335758653E-2</v>
      </c>
    </row>
    <row r="348" spans="1:19" x14ac:dyDescent="0.2">
      <c r="A348" t="s">
        <v>951</v>
      </c>
      <c r="B348" t="s">
        <v>952</v>
      </c>
      <c r="C348" t="s">
        <v>3</v>
      </c>
      <c r="E348" s="11" t="s">
        <v>1268</v>
      </c>
      <c r="F348" s="5">
        <v>44482</v>
      </c>
      <c r="G348" t="s">
        <v>904</v>
      </c>
      <c r="H348" t="s">
        <v>5</v>
      </c>
      <c r="I348" s="5">
        <v>44481</v>
      </c>
      <c r="J348" s="5">
        <v>44480</v>
      </c>
      <c r="K348" s="6">
        <v>0.79166666666666996</v>
      </c>
      <c r="L348" s="5">
        <v>44480</v>
      </c>
      <c r="M348" s="6">
        <v>0.8125</v>
      </c>
      <c r="N348" s="5">
        <v>44482</v>
      </c>
      <c r="Q348" s="12">
        <f t="shared" si="15"/>
        <v>44480.791666666664</v>
      </c>
      <c r="R348" s="12">
        <f t="shared" si="16"/>
        <v>44480.8125</v>
      </c>
      <c r="S348" s="13">
        <f t="shared" si="17"/>
        <v>2.0833333335758653E-2</v>
      </c>
    </row>
    <row r="349" spans="1:19" hidden="1" x14ac:dyDescent="0.2">
      <c r="A349" t="s">
        <v>953</v>
      </c>
      <c r="B349" t="s">
        <v>954</v>
      </c>
      <c r="C349" t="s">
        <v>3</v>
      </c>
      <c r="D349" s="11" t="s">
        <v>1266</v>
      </c>
      <c r="F349" s="5">
        <v>44484</v>
      </c>
      <c r="G349" t="s">
        <v>39</v>
      </c>
      <c r="H349" t="s">
        <v>5</v>
      </c>
      <c r="I349" s="5">
        <v>44480</v>
      </c>
      <c r="J349" s="5">
        <v>44480</v>
      </c>
      <c r="K349" s="6">
        <v>0.66666666666666996</v>
      </c>
      <c r="L349" s="5">
        <v>44480</v>
      </c>
      <c r="M349" s="6">
        <v>0.75</v>
      </c>
      <c r="N349" s="5">
        <v>44484</v>
      </c>
      <c r="Q349" s="12">
        <f t="shared" si="15"/>
        <v>44480.666666666664</v>
      </c>
      <c r="R349" s="12">
        <f t="shared" si="16"/>
        <v>44480.75</v>
      </c>
      <c r="S349" s="13">
        <f t="shared" si="17"/>
        <v>8.3333333335758653E-2</v>
      </c>
    </row>
    <row r="350" spans="1:19" hidden="1" x14ac:dyDescent="0.2">
      <c r="A350" t="s">
        <v>955</v>
      </c>
      <c r="B350" t="s">
        <v>956</v>
      </c>
      <c r="C350" t="s">
        <v>3</v>
      </c>
      <c r="F350" s="5">
        <v>44490</v>
      </c>
      <c r="G350" t="s">
        <v>839</v>
      </c>
      <c r="H350" t="s">
        <v>5</v>
      </c>
      <c r="I350" s="5">
        <v>44489</v>
      </c>
      <c r="J350" s="5">
        <v>44489</v>
      </c>
      <c r="K350" s="6">
        <v>0.33333333333332998</v>
      </c>
      <c r="L350" s="5">
        <v>44489</v>
      </c>
      <c r="M350" s="6">
        <v>0.36111111111110999</v>
      </c>
      <c r="N350" s="5">
        <v>44490</v>
      </c>
      <c r="Q350" s="12">
        <f t="shared" si="15"/>
        <v>44489.333333333336</v>
      </c>
      <c r="R350" s="12">
        <f t="shared" si="16"/>
        <v>44489.361111111109</v>
      </c>
      <c r="S350" s="13">
        <f t="shared" si="17"/>
        <v>2.7777777773735579E-2</v>
      </c>
    </row>
    <row r="351" spans="1:19" x14ac:dyDescent="0.2">
      <c r="A351" t="s">
        <v>957</v>
      </c>
      <c r="B351" t="s">
        <v>958</v>
      </c>
      <c r="C351" t="s">
        <v>3</v>
      </c>
      <c r="E351" s="11" t="s">
        <v>1268</v>
      </c>
      <c r="F351" s="5">
        <v>44498</v>
      </c>
      <c r="G351" t="s">
        <v>959</v>
      </c>
      <c r="H351" t="s">
        <v>5</v>
      </c>
      <c r="I351" s="5">
        <v>44496</v>
      </c>
      <c r="J351" s="5">
        <v>44495</v>
      </c>
      <c r="K351" s="6">
        <v>0.95833333333333004</v>
      </c>
      <c r="L351" s="5">
        <v>44495</v>
      </c>
      <c r="M351" s="6">
        <v>0.97916666666666996</v>
      </c>
      <c r="N351" s="5">
        <v>44498</v>
      </c>
      <c r="Q351" s="12">
        <f t="shared" si="15"/>
        <v>44495.958333333336</v>
      </c>
      <c r="R351" s="12">
        <f t="shared" si="16"/>
        <v>44495.979166666664</v>
      </c>
      <c r="S351" s="13">
        <f t="shared" si="17"/>
        <v>2.0833333328482695E-2</v>
      </c>
    </row>
    <row r="352" spans="1:19" x14ac:dyDescent="0.2">
      <c r="A352" t="s">
        <v>960</v>
      </c>
      <c r="B352" t="s">
        <v>961</v>
      </c>
      <c r="C352" t="s">
        <v>3</v>
      </c>
      <c r="E352" s="11" t="s">
        <v>1268</v>
      </c>
      <c r="F352" s="5">
        <v>44500</v>
      </c>
      <c r="G352" t="s">
        <v>611</v>
      </c>
      <c r="H352" t="s">
        <v>5</v>
      </c>
      <c r="I352" s="5">
        <v>44499</v>
      </c>
      <c r="J352" s="5">
        <v>44476</v>
      </c>
      <c r="K352" s="6">
        <v>0.1875</v>
      </c>
      <c r="L352" s="5">
        <v>44476</v>
      </c>
      <c r="M352" s="6">
        <v>0.20833333333333001</v>
      </c>
      <c r="N352" s="5">
        <v>44500</v>
      </c>
      <c r="Q352" s="12">
        <f t="shared" si="15"/>
        <v>44476.1875</v>
      </c>
      <c r="R352" s="12">
        <f t="shared" si="16"/>
        <v>44476.208333333336</v>
      </c>
      <c r="S352" s="13">
        <f t="shared" si="17"/>
        <v>2.0833333335758653E-2</v>
      </c>
    </row>
    <row r="353" spans="1:19" x14ac:dyDescent="0.2">
      <c r="A353" t="s">
        <v>962</v>
      </c>
      <c r="B353" t="s">
        <v>963</v>
      </c>
      <c r="C353" t="s">
        <v>3</v>
      </c>
      <c r="E353" s="11" t="s">
        <v>1268</v>
      </c>
      <c r="F353" s="5">
        <v>44500</v>
      </c>
      <c r="G353" t="s">
        <v>964</v>
      </c>
      <c r="H353" t="s">
        <v>5</v>
      </c>
      <c r="I353" s="5">
        <v>44499</v>
      </c>
      <c r="J353" s="5">
        <v>44490</v>
      </c>
      <c r="K353" s="6">
        <v>0.58333333333333004</v>
      </c>
      <c r="L353" s="5">
        <v>44490</v>
      </c>
      <c r="M353" s="6">
        <v>0.59722222222221999</v>
      </c>
      <c r="N353" s="5">
        <v>44500</v>
      </c>
      <c r="Q353" s="12">
        <f t="shared" si="15"/>
        <v>44490.583333333336</v>
      </c>
      <c r="R353" s="12">
        <f t="shared" si="16"/>
        <v>44490.597222222219</v>
      </c>
      <c r="S353" s="13">
        <f t="shared" si="17"/>
        <v>1.3888888883229811E-2</v>
      </c>
    </row>
    <row r="354" spans="1:19" x14ac:dyDescent="0.2">
      <c r="A354" t="s">
        <v>965</v>
      </c>
      <c r="B354" t="s">
        <v>966</v>
      </c>
      <c r="C354" t="s">
        <v>3</v>
      </c>
      <c r="E354" s="11" t="s">
        <v>1268</v>
      </c>
      <c r="F354" s="5">
        <v>44501</v>
      </c>
      <c r="G354" t="s">
        <v>964</v>
      </c>
      <c r="H354" t="s">
        <v>5</v>
      </c>
      <c r="I354" s="5">
        <v>44502</v>
      </c>
      <c r="J354" s="5">
        <v>44490</v>
      </c>
      <c r="K354" s="6">
        <v>0.375</v>
      </c>
      <c r="L354" s="5">
        <v>44490</v>
      </c>
      <c r="M354" s="6">
        <v>0.38888888888889001</v>
      </c>
      <c r="N354" s="5">
        <v>44501</v>
      </c>
      <c r="Q354" s="12">
        <f t="shared" si="15"/>
        <v>44490.375</v>
      </c>
      <c r="R354" s="12">
        <f t="shared" si="16"/>
        <v>44490.388888888891</v>
      </c>
      <c r="S354" s="13">
        <f t="shared" si="17"/>
        <v>1.3888888890505768E-2</v>
      </c>
    </row>
    <row r="355" spans="1:19" hidden="1" x14ac:dyDescent="0.2">
      <c r="A355" t="s">
        <v>967</v>
      </c>
      <c r="B355" t="s">
        <v>968</v>
      </c>
      <c r="C355" t="s">
        <v>3</v>
      </c>
      <c r="F355" s="5">
        <v>44501</v>
      </c>
      <c r="G355" t="s">
        <v>839</v>
      </c>
      <c r="H355" t="s">
        <v>5</v>
      </c>
      <c r="I355" s="5">
        <v>44499</v>
      </c>
      <c r="J355" s="5">
        <v>44499</v>
      </c>
      <c r="K355" s="6">
        <v>0.95833333333333004</v>
      </c>
      <c r="L355" s="5">
        <v>44499</v>
      </c>
      <c r="M355" s="6">
        <v>0.97916666666666996</v>
      </c>
      <c r="N355" s="5">
        <v>44501</v>
      </c>
      <c r="Q355" s="12">
        <f t="shared" si="15"/>
        <v>44499.958333333336</v>
      </c>
      <c r="R355" s="12">
        <f t="shared" si="16"/>
        <v>44499.979166666664</v>
      </c>
      <c r="S355" s="13">
        <f t="shared" si="17"/>
        <v>2.0833333328482695E-2</v>
      </c>
    </row>
    <row r="356" spans="1:19" hidden="1" x14ac:dyDescent="0.2">
      <c r="A356" t="s">
        <v>969</v>
      </c>
      <c r="B356" t="s">
        <v>970</v>
      </c>
      <c r="C356" t="s">
        <v>3</v>
      </c>
      <c r="F356" s="5">
        <v>44501</v>
      </c>
      <c r="G356" t="s">
        <v>971</v>
      </c>
      <c r="H356" t="s">
        <v>5</v>
      </c>
      <c r="I356" s="5">
        <v>44499</v>
      </c>
      <c r="J356" s="5">
        <v>44499</v>
      </c>
      <c r="K356" s="6">
        <v>0.33333333333332998</v>
      </c>
      <c r="L356" s="5">
        <v>44499</v>
      </c>
      <c r="M356" s="6">
        <v>0.34722222222221999</v>
      </c>
      <c r="N356" s="5">
        <v>44501</v>
      </c>
      <c r="Q356" s="12">
        <f t="shared" si="15"/>
        <v>44499.333333333336</v>
      </c>
      <c r="R356" s="12">
        <f t="shared" si="16"/>
        <v>44499.347222222219</v>
      </c>
      <c r="S356" s="13">
        <f t="shared" si="17"/>
        <v>1.3888888883229811E-2</v>
      </c>
    </row>
    <row r="357" spans="1:19" hidden="1" x14ac:dyDescent="0.2">
      <c r="A357" t="s">
        <v>972</v>
      </c>
      <c r="B357" t="s">
        <v>973</v>
      </c>
      <c r="C357" t="s">
        <v>3</v>
      </c>
      <c r="F357" s="5">
        <v>44505</v>
      </c>
      <c r="G357" t="s">
        <v>974</v>
      </c>
      <c r="H357" t="s">
        <v>5</v>
      </c>
      <c r="I357" s="5">
        <v>44504</v>
      </c>
      <c r="J357" s="5"/>
      <c r="K357" s="6">
        <v>0</v>
      </c>
      <c r="L357" s="5"/>
      <c r="M357" s="6">
        <v>0</v>
      </c>
      <c r="N357" s="5">
        <v>44505</v>
      </c>
      <c r="Q357" s="12">
        <f t="shared" si="15"/>
        <v>0</v>
      </c>
      <c r="R357" s="12">
        <f t="shared" si="16"/>
        <v>0</v>
      </c>
      <c r="S357" s="13">
        <f t="shared" si="17"/>
        <v>0</v>
      </c>
    </row>
    <row r="358" spans="1:19" x14ac:dyDescent="0.2">
      <c r="A358" t="s">
        <v>975</v>
      </c>
      <c r="B358" t="s">
        <v>976</v>
      </c>
      <c r="C358" t="s">
        <v>3</v>
      </c>
      <c r="E358" s="11" t="s">
        <v>1268</v>
      </c>
      <c r="F358" s="5">
        <v>44530</v>
      </c>
      <c r="G358" t="s">
        <v>611</v>
      </c>
      <c r="H358" t="s">
        <v>5</v>
      </c>
      <c r="I358" s="5">
        <v>44529</v>
      </c>
      <c r="J358" s="5">
        <v>44510</v>
      </c>
      <c r="K358" s="6">
        <v>0.95833333333333004</v>
      </c>
      <c r="L358" s="5">
        <v>44510</v>
      </c>
      <c r="M358" s="6">
        <v>0.97916666666666996</v>
      </c>
      <c r="N358" s="5">
        <v>44530</v>
      </c>
      <c r="Q358" s="12">
        <f t="shared" si="15"/>
        <v>44510.958333333336</v>
      </c>
      <c r="R358" s="12">
        <f t="shared" si="16"/>
        <v>44510.979166666664</v>
      </c>
      <c r="S358" s="13">
        <f t="shared" si="17"/>
        <v>2.0833333328482695E-2</v>
      </c>
    </row>
    <row r="359" spans="1:19" x14ac:dyDescent="0.2">
      <c r="A359" t="s">
        <v>977</v>
      </c>
      <c r="B359" t="s">
        <v>978</v>
      </c>
      <c r="C359" t="s">
        <v>3</v>
      </c>
      <c r="E359" s="11" t="s">
        <v>1268</v>
      </c>
      <c r="F359" s="5">
        <v>44536</v>
      </c>
      <c r="G359" t="s">
        <v>611</v>
      </c>
      <c r="H359" t="s">
        <v>5</v>
      </c>
      <c r="I359" s="5">
        <v>44535</v>
      </c>
      <c r="J359" s="5">
        <v>44519</v>
      </c>
      <c r="K359" s="6">
        <v>0.375</v>
      </c>
      <c r="L359" s="5">
        <v>44519</v>
      </c>
      <c r="M359" s="6">
        <v>0.39583333333332998</v>
      </c>
      <c r="N359" s="5">
        <v>44536</v>
      </c>
      <c r="Q359" s="12">
        <f t="shared" si="15"/>
        <v>44519.375</v>
      </c>
      <c r="R359" s="12">
        <f t="shared" si="16"/>
        <v>44519.395833333336</v>
      </c>
      <c r="S359" s="13">
        <f t="shared" si="17"/>
        <v>2.0833333335758653E-2</v>
      </c>
    </row>
    <row r="360" spans="1:19" hidden="1" x14ac:dyDescent="0.2">
      <c r="A360" t="s">
        <v>979</v>
      </c>
      <c r="B360" t="s">
        <v>980</v>
      </c>
      <c r="C360" t="s">
        <v>3</v>
      </c>
      <c r="F360" s="5">
        <v>44537</v>
      </c>
      <c r="G360" t="s">
        <v>839</v>
      </c>
      <c r="H360" t="s">
        <v>5</v>
      </c>
      <c r="I360" s="5">
        <v>44536</v>
      </c>
      <c r="J360" s="5">
        <v>44523</v>
      </c>
      <c r="K360" s="6">
        <v>0.83333333333333004</v>
      </c>
      <c r="L360" s="5">
        <v>44523</v>
      </c>
      <c r="M360" s="6">
        <v>0.85416666666666996</v>
      </c>
      <c r="N360" s="5">
        <v>44537</v>
      </c>
      <c r="Q360" s="12">
        <f t="shared" si="15"/>
        <v>44523.833333333336</v>
      </c>
      <c r="R360" s="12">
        <f t="shared" si="16"/>
        <v>44523.854166666664</v>
      </c>
      <c r="S360" s="13">
        <f t="shared" si="17"/>
        <v>2.0833333328482695E-2</v>
      </c>
    </row>
    <row r="361" spans="1:19" x14ac:dyDescent="0.2">
      <c r="A361" t="s">
        <v>981</v>
      </c>
      <c r="B361" t="s">
        <v>982</v>
      </c>
      <c r="C361" t="s">
        <v>3</v>
      </c>
      <c r="E361" s="11" t="s">
        <v>1268</v>
      </c>
      <c r="F361" s="5">
        <v>44551</v>
      </c>
      <c r="G361" t="s">
        <v>611</v>
      </c>
      <c r="H361" t="s">
        <v>5</v>
      </c>
      <c r="I361" s="5">
        <v>44550</v>
      </c>
      <c r="J361" s="5">
        <v>44546</v>
      </c>
      <c r="K361" s="6">
        <v>0.5</v>
      </c>
      <c r="L361" s="5">
        <v>44546</v>
      </c>
      <c r="M361" s="6">
        <v>0.52777777777778001</v>
      </c>
      <c r="N361" s="5">
        <v>44551</v>
      </c>
      <c r="Q361" s="12">
        <f t="shared" si="15"/>
        <v>44546.5</v>
      </c>
      <c r="R361" s="12">
        <f t="shared" si="16"/>
        <v>44546.527777777781</v>
      </c>
      <c r="S361" s="13">
        <f t="shared" si="17"/>
        <v>2.7777777781011537E-2</v>
      </c>
    </row>
    <row r="362" spans="1:19" x14ac:dyDescent="0.2">
      <c r="A362" t="s">
        <v>983</v>
      </c>
      <c r="B362" t="s">
        <v>984</v>
      </c>
      <c r="C362" t="s">
        <v>3</v>
      </c>
      <c r="E362" s="11" t="s">
        <v>1268</v>
      </c>
      <c r="F362" s="5">
        <v>44551</v>
      </c>
      <c r="G362" t="s">
        <v>985</v>
      </c>
      <c r="H362" t="s">
        <v>5</v>
      </c>
      <c r="I362" s="5">
        <v>44550</v>
      </c>
      <c r="J362" s="5">
        <v>44546</v>
      </c>
      <c r="K362" s="6">
        <v>0.33333333333332998</v>
      </c>
      <c r="L362" s="5">
        <v>44546</v>
      </c>
      <c r="M362" s="6">
        <v>0.34722222222221999</v>
      </c>
      <c r="N362" s="5">
        <v>44551</v>
      </c>
      <c r="Q362" s="12">
        <f t="shared" si="15"/>
        <v>44546.333333333336</v>
      </c>
      <c r="R362" s="12">
        <f t="shared" si="16"/>
        <v>44546.347222222219</v>
      </c>
      <c r="S362" s="13">
        <f t="shared" si="17"/>
        <v>1.3888888883229811E-2</v>
      </c>
    </row>
    <row r="363" spans="1:19" x14ac:dyDescent="0.2">
      <c r="A363" t="s">
        <v>986</v>
      </c>
      <c r="B363" t="s">
        <v>987</v>
      </c>
      <c r="C363" t="s">
        <v>3</v>
      </c>
      <c r="E363" s="11" t="s">
        <v>1268</v>
      </c>
      <c r="F363" s="5">
        <v>44552</v>
      </c>
      <c r="G363" t="s">
        <v>611</v>
      </c>
      <c r="H363" t="s">
        <v>5</v>
      </c>
      <c r="I363" s="5">
        <v>44551</v>
      </c>
      <c r="J363" s="5">
        <v>44536</v>
      </c>
      <c r="K363" s="6">
        <v>0.79166666666666996</v>
      </c>
      <c r="L363" s="5">
        <v>44536</v>
      </c>
      <c r="M363" s="6">
        <v>0.8125</v>
      </c>
      <c r="N363" s="5">
        <v>44552</v>
      </c>
      <c r="Q363" s="12">
        <f t="shared" si="15"/>
        <v>44536.791666666664</v>
      </c>
      <c r="R363" s="12">
        <f t="shared" si="16"/>
        <v>44536.8125</v>
      </c>
      <c r="S363" s="13">
        <f t="shared" si="17"/>
        <v>2.0833333335758653E-2</v>
      </c>
    </row>
    <row r="364" spans="1:19" hidden="1" x14ac:dyDescent="0.2">
      <c r="A364" t="s">
        <v>988</v>
      </c>
      <c r="B364" t="s">
        <v>989</v>
      </c>
      <c r="C364" t="s">
        <v>3</v>
      </c>
      <c r="D364" s="11" t="s">
        <v>1268</v>
      </c>
      <c r="F364" s="5">
        <v>44569</v>
      </c>
      <c r="G364" t="s">
        <v>928</v>
      </c>
      <c r="H364" t="s">
        <v>5</v>
      </c>
      <c r="I364" s="5">
        <v>44568</v>
      </c>
      <c r="J364" s="5">
        <v>44557</v>
      </c>
      <c r="K364" s="6">
        <v>0.91666666666666996</v>
      </c>
      <c r="L364" s="5">
        <v>44557</v>
      </c>
      <c r="M364" s="6">
        <v>0.9375</v>
      </c>
      <c r="N364" s="5">
        <v>44569</v>
      </c>
      <c r="Q364" s="12">
        <f t="shared" si="15"/>
        <v>44557.916666666664</v>
      </c>
      <c r="R364" s="12">
        <f t="shared" si="16"/>
        <v>44557.9375</v>
      </c>
      <c r="S364" s="13">
        <f t="shared" si="17"/>
        <v>2.0833333335758653E-2</v>
      </c>
    </row>
    <row r="365" spans="1:19" x14ac:dyDescent="0.2">
      <c r="A365" t="s">
        <v>990</v>
      </c>
      <c r="B365" t="s">
        <v>991</v>
      </c>
      <c r="C365" t="s">
        <v>3</v>
      </c>
      <c r="E365" s="11" t="s">
        <v>1268</v>
      </c>
      <c r="F365" s="5">
        <v>44569</v>
      </c>
      <c r="G365" t="s">
        <v>992</v>
      </c>
      <c r="H365" t="s">
        <v>5</v>
      </c>
      <c r="I365" s="5">
        <v>44566</v>
      </c>
      <c r="J365" s="5">
        <v>44560</v>
      </c>
      <c r="K365" s="6">
        <v>0.875</v>
      </c>
      <c r="L365" s="5">
        <v>44560</v>
      </c>
      <c r="M365" s="6">
        <v>0.89583333333333004</v>
      </c>
      <c r="N365" s="5">
        <v>44569</v>
      </c>
      <c r="Q365" s="12">
        <f t="shared" si="15"/>
        <v>44560.875</v>
      </c>
      <c r="R365" s="12">
        <f t="shared" si="16"/>
        <v>44560.895833333336</v>
      </c>
      <c r="S365" s="13">
        <f t="shared" si="17"/>
        <v>2.0833333335758653E-2</v>
      </c>
    </row>
    <row r="366" spans="1:19" x14ac:dyDescent="0.2">
      <c r="A366" t="s">
        <v>993</v>
      </c>
      <c r="B366" t="s">
        <v>994</v>
      </c>
      <c r="C366" t="s">
        <v>3</v>
      </c>
      <c r="E366" s="11" t="s">
        <v>1268</v>
      </c>
      <c r="F366" s="5">
        <v>44571</v>
      </c>
      <c r="G366" t="s">
        <v>995</v>
      </c>
      <c r="H366" t="s">
        <v>5</v>
      </c>
      <c r="I366" s="5">
        <v>44571</v>
      </c>
      <c r="J366" s="5">
        <v>44571</v>
      </c>
      <c r="K366" s="6">
        <v>0.375</v>
      </c>
      <c r="L366" s="5">
        <v>44571</v>
      </c>
      <c r="M366" s="6">
        <v>0.39236111111110999</v>
      </c>
      <c r="N366" s="5">
        <v>44571</v>
      </c>
      <c r="Q366" s="12">
        <f t="shared" si="15"/>
        <v>44571.375</v>
      </c>
      <c r="R366" s="12">
        <f t="shared" si="16"/>
        <v>44571.392361111109</v>
      </c>
      <c r="S366" s="13">
        <f t="shared" si="17"/>
        <v>1.7361111109494232E-2</v>
      </c>
    </row>
    <row r="367" spans="1:19" x14ac:dyDescent="0.2">
      <c r="A367" t="s">
        <v>996</v>
      </c>
      <c r="B367" t="s">
        <v>997</v>
      </c>
      <c r="C367" t="s">
        <v>3</v>
      </c>
      <c r="E367" s="11" t="s">
        <v>1268</v>
      </c>
      <c r="F367" s="5">
        <v>44580</v>
      </c>
      <c r="G367" t="s">
        <v>998</v>
      </c>
      <c r="H367" t="s">
        <v>5</v>
      </c>
      <c r="I367" s="5">
        <v>44580</v>
      </c>
      <c r="J367" s="5">
        <v>44580</v>
      </c>
      <c r="K367" s="6">
        <v>0.5</v>
      </c>
      <c r="L367" s="5">
        <v>44580</v>
      </c>
      <c r="M367" s="6">
        <v>0.51388888888888995</v>
      </c>
      <c r="N367" s="5">
        <v>44580</v>
      </c>
      <c r="Q367" s="12">
        <f t="shared" si="15"/>
        <v>44580.5</v>
      </c>
      <c r="R367" s="12">
        <f t="shared" si="16"/>
        <v>44580.513888888891</v>
      </c>
      <c r="S367" s="13">
        <f t="shared" si="17"/>
        <v>1.3888888890505768E-2</v>
      </c>
    </row>
    <row r="368" spans="1:19" hidden="1" x14ac:dyDescent="0.2">
      <c r="A368" t="s">
        <v>999</v>
      </c>
      <c r="B368" t="s">
        <v>1000</v>
      </c>
      <c r="C368" t="s">
        <v>3</v>
      </c>
      <c r="F368" s="5">
        <v>44580</v>
      </c>
      <c r="G368" t="s">
        <v>1001</v>
      </c>
      <c r="H368" t="s">
        <v>5</v>
      </c>
      <c r="I368" s="5">
        <v>44579</v>
      </c>
      <c r="J368" s="5">
        <v>44579</v>
      </c>
      <c r="K368" s="6">
        <v>8.3333333333329998E-2</v>
      </c>
      <c r="L368" s="5">
        <v>44579</v>
      </c>
      <c r="M368" s="6">
        <v>0.11111111111110999</v>
      </c>
      <c r="N368" s="5">
        <v>44580</v>
      </c>
      <c r="Q368" s="12">
        <f t="shared" si="15"/>
        <v>44579.083333333336</v>
      </c>
      <c r="R368" s="12">
        <f t="shared" si="16"/>
        <v>44579.111111111109</v>
      </c>
      <c r="S368" s="13">
        <f t="shared" si="17"/>
        <v>2.7777777773735579E-2</v>
      </c>
    </row>
    <row r="369" spans="1:19" hidden="1" x14ac:dyDescent="0.2">
      <c r="A369" t="s">
        <v>1002</v>
      </c>
      <c r="B369" t="s">
        <v>1003</v>
      </c>
      <c r="C369" t="s">
        <v>3</v>
      </c>
      <c r="F369" s="5">
        <v>44583</v>
      </c>
      <c r="G369" t="s">
        <v>1004</v>
      </c>
      <c r="H369" t="s">
        <v>5</v>
      </c>
      <c r="I369" s="5">
        <v>44582</v>
      </c>
      <c r="J369" s="5">
        <v>44576</v>
      </c>
      <c r="K369" s="6">
        <v>0.625</v>
      </c>
      <c r="L369" s="5">
        <v>44576</v>
      </c>
      <c r="M369" s="6">
        <v>0.66666666666666996</v>
      </c>
      <c r="N369" s="5">
        <v>44583</v>
      </c>
      <c r="Q369" s="12">
        <f t="shared" si="15"/>
        <v>44576.625</v>
      </c>
      <c r="R369" s="12">
        <f t="shared" si="16"/>
        <v>44576.666666666664</v>
      </c>
      <c r="S369" s="13">
        <f t="shared" si="17"/>
        <v>4.1666666664241347E-2</v>
      </c>
    </row>
    <row r="370" spans="1:19" hidden="1" x14ac:dyDescent="0.2">
      <c r="A370" t="s">
        <v>1005</v>
      </c>
      <c r="B370" t="s">
        <v>1006</v>
      </c>
      <c r="C370" t="s">
        <v>3</v>
      </c>
      <c r="F370" s="5">
        <v>44593</v>
      </c>
      <c r="G370" t="s">
        <v>1007</v>
      </c>
      <c r="H370" t="s">
        <v>5</v>
      </c>
      <c r="I370" s="5">
        <v>44592</v>
      </c>
      <c r="J370" s="5">
        <v>44565</v>
      </c>
      <c r="K370" s="6">
        <v>0.50694444444443998</v>
      </c>
      <c r="L370" s="5">
        <v>44565</v>
      </c>
      <c r="M370" s="6">
        <v>0.52083333333333004</v>
      </c>
      <c r="N370" s="5">
        <v>44593</v>
      </c>
      <c r="Q370" s="12">
        <f t="shared" si="15"/>
        <v>44565.506944444445</v>
      </c>
      <c r="R370" s="12">
        <f t="shared" si="16"/>
        <v>44565.520833333336</v>
      </c>
      <c r="S370" s="13">
        <f t="shared" si="17"/>
        <v>1.3888888890505768E-2</v>
      </c>
    </row>
    <row r="371" spans="1:19" hidden="1" x14ac:dyDescent="0.2">
      <c r="A371" t="s">
        <v>1008</v>
      </c>
      <c r="B371" t="s">
        <v>1009</v>
      </c>
      <c r="C371" t="s">
        <v>3</v>
      </c>
      <c r="F371" s="5">
        <v>44594</v>
      </c>
      <c r="G371" t="s">
        <v>1010</v>
      </c>
      <c r="H371" t="s">
        <v>5</v>
      </c>
      <c r="I371" s="5">
        <v>44593</v>
      </c>
      <c r="J371" s="5">
        <v>44564</v>
      </c>
      <c r="K371" s="6">
        <v>0.3125</v>
      </c>
      <c r="L371" s="5">
        <v>44564</v>
      </c>
      <c r="M371" s="6">
        <v>0.33333333333332998</v>
      </c>
      <c r="N371" s="5">
        <v>44594</v>
      </c>
      <c r="Q371" s="12">
        <f t="shared" si="15"/>
        <v>44564.3125</v>
      </c>
      <c r="R371" s="12">
        <f t="shared" si="16"/>
        <v>44564.333333333336</v>
      </c>
      <c r="S371" s="13">
        <f t="shared" si="17"/>
        <v>2.0833333335758653E-2</v>
      </c>
    </row>
    <row r="372" spans="1:19" hidden="1" x14ac:dyDescent="0.2">
      <c r="A372" t="s">
        <v>1011</v>
      </c>
      <c r="B372" t="s">
        <v>1012</v>
      </c>
      <c r="C372" t="s">
        <v>3</v>
      </c>
      <c r="F372" s="5">
        <v>44594</v>
      </c>
      <c r="G372" t="s">
        <v>723</v>
      </c>
      <c r="H372" t="s">
        <v>5</v>
      </c>
      <c r="I372" s="5">
        <v>44590</v>
      </c>
      <c r="J372" s="5">
        <v>44590</v>
      </c>
      <c r="K372" s="6">
        <v>0.33333333333332998</v>
      </c>
      <c r="L372" s="5">
        <v>44590</v>
      </c>
      <c r="M372" s="6">
        <v>0.41666666666667002</v>
      </c>
      <c r="N372" s="5">
        <v>44594</v>
      </c>
      <c r="Q372" s="12">
        <f t="shared" si="15"/>
        <v>44590.333333333336</v>
      </c>
      <c r="R372" s="12">
        <f t="shared" si="16"/>
        <v>44590.416666666664</v>
      </c>
      <c r="S372" s="13">
        <f t="shared" si="17"/>
        <v>8.3333333328482695E-2</v>
      </c>
    </row>
    <row r="373" spans="1:19" x14ac:dyDescent="0.2">
      <c r="A373" t="s">
        <v>1013</v>
      </c>
      <c r="B373" t="s">
        <v>1014</v>
      </c>
      <c r="C373" t="s">
        <v>3</v>
      </c>
      <c r="E373" s="11" t="s">
        <v>1268</v>
      </c>
      <c r="F373" s="5">
        <v>44594</v>
      </c>
      <c r="G373" t="s">
        <v>210</v>
      </c>
      <c r="H373" t="s">
        <v>5</v>
      </c>
      <c r="I373" s="5">
        <v>44590</v>
      </c>
      <c r="J373" s="5">
        <v>44589</v>
      </c>
      <c r="K373" s="6">
        <v>0.41666666666667002</v>
      </c>
      <c r="L373" s="5">
        <v>44589</v>
      </c>
      <c r="M373" s="6">
        <v>0.44444444444443998</v>
      </c>
      <c r="N373" s="5">
        <v>44594</v>
      </c>
      <c r="Q373" s="12">
        <f t="shared" si="15"/>
        <v>44589.416666666664</v>
      </c>
      <c r="R373" s="12">
        <f t="shared" si="16"/>
        <v>44589.444444444445</v>
      </c>
      <c r="S373" s="13">
        <f t="shared" si="17"/>
        <v>2.7777777781011537E-2</v>
      </c>
    </row>
    <row r="374" spans="1:19" hidden="1" x14ac:dyDescent="0.2">
      <c r="A374" t="s">
        <v>1015</v>
      </c>
      <c r="B374" t="s">
        <v>1016</v>
      </c>
      <c r="C374" t="s">
        <v>3</v>
      </c>
      <c r="F374" s="5">
        <v>44594</v>
      </c>
      <c r="G374" t="s">
        <v>1017</v>
      </c>
      <c r="H374" t="s">
        <v>5</v>
      </c>
      <c r="I374" s="5">
        <v>44593</v>
      </c>
      <c r="J374" s="5">
        <v>44567</v>
      </c>
      <c r="K374" s="6">
        <v>0.29166666666667002</v>
      </c>
      <c r="L374" s="5">
        <v>44567</v>
      </c>
      <c r="M374" s="6">
        <v>0.33333333333332998</v>
      </c>
      <c r="N374" s="5">
        <v>44594</v>
      </c>
      <c r="Q374" s="12">
        <f t="shared" si="15"/>
        <v>44567.291666666664</v>
      </c>
      <c r="R374" s="12">
        <f t="shared" si="16"/>
        <v>44567.333333333336</v>
      </c>
      <c r="S374" s="13">
        <f t="shared" si="17"/>
        <v>4.1666666671517305E-2</v>
      </c>
    </row>
    <row r="375" spans="1:19" x14ac:dyDescent="0.2">
      <c r="A375" t="s">
        <v>1018</v>
      </c>
      <c r="B375" t="s">
        <v>1019</v>
      </c>
      <c r="C375" t="s">
        <v>3</v>
      </c>
      <c r="E375" s="11" t="s">
        <v>1268</v>
      </c>
      <c r="F375" s="5">
        <v>44595</v>
      </c>
      <c r="G375" t="s">
        <v>1020</v>
      </c>
      <c r="H375" t="s">
        <v>5</v>
      </c>
      <c r="I375" s="5">
        <v>44594</v>
      </c>
      <c r="J375" s="5">
        <v>44569</v>
      </c>
      <c r="K375" s="6">
        <v>0.5</v>
      </c>
      <c r="L375" s="5">
        <v>44569</v>
      </c>
      <c r="M375" s="6">
        <v>0.51388888888888995</v>
      </c>
      <c r="N375" s="5">
        <v>44595</v>
      </c>
      <c r="Q375" s="12">
        <f t="shared" si="15"/>
        <v>44569.5</v>
      </c>
      <c r="R375" s="12">
        <f t="shared" si="16"/>
        <v>44569.513888888891</v>
      </c>
      <c r="S375" s="13">
        <f t="shared" si="17"/>
        <v>1.3888888890505768E-2</v>
      </c>
    </row>
    <row r="376" spans="1:19" hidden="1" x14ac:dyDescent="0.2">
      <c r="A376" t="s">
        <v>1021</v>
      </c>
      <c r="B376" t="s">
        <v>1022</v>
      </c>
      <c r="C376" t="s">
        <v>3</v>
      </c>
      <c r="F376" s="5">
        <v>44595</v>
      </c>
      <c r="G376" t="s">
        <v>1023</v>
      </c>
      <c r="H376" t="s">
        <v>5</v>
      </c>
      <c r="I376" s="5">
        <v>44589</v>
      </c>
      <c r="J376" s="5">
        <v>44588</v>
      </c>
      <c r="K376" s="6">
        <v>0.5</v>
      </c>
      <c r="L376" s="5">
        <v>44588</v>
      </c>
      <c r="M376" s="6">
        <v>0.54166666666666996</v>
      </c>
      <c r="N376" s="5">
        <v>44595</v>
      </c>
      <c r="Q376" s="12">
        <f t="shared" si="15"/>
        <v>44588.5</v>
      </c>
      <c r="R376" s="12">
        <f t="shared" si="16"/>
        <v>44588.541666666664</v>
      </c>
      <c r="S376" s="13">
        <f t="shared" si="17"/>
        <v>4.1666666664241347E-2</v>
      </c>
    </row>
    <row r="377" spans="1:19" x14ac:dyDescent="0.2">
      <c r="A377" t="s">
        <v>1024</v>
      </c>
      <c r="B377" t="s">
        <v>1025</v>
      </c>
      <c r="C377" t="s">
        <v>3</v>
      </c>
      <c r="E377" s="11" t="s">
        <v>1268</v>
      </c>
      <c r="F377" s="5">
        <v>44595</v>
      </c>
      <c r="G377" t="s">
        <v>1026</v>
      </c>
      <c r="H377" t="s">
        <v>5</v>
      </c>
      <c r="I377" s="5">
        <v>44589</v>
      </c>
      <c r="J377" s="5">
        <v>44586</v>
      </c>
      <c r="K377" s="6">
        <v>0.45833333333332998</v>
      </c>
      <c r="L377" s="5">
        <v>44586</v>
      </c>
      <c r="M377" s="6">
        <v>0.48611111111110999</v>
      </c>
      <c r="N377" s="5">
        <v>44595</v>
      </c>
      <c r="Q377" s="12">
        <f t="shared" si="15"/>
        <v>44586.458333333336</v>
      </c>
      <c r="R377" s="12">
        <f t="shared" si="16"/>
        <v>44586.486111111109</v>
      </c>
      <c r="S377" s="13">
        <f t="shared" si="17"/>
        <v>2.7777777773735579E-2</v>
      </c>
    </row>
    <row r="378" spans="1:19" x14ac:dyDescent="0.2">
      <c r="A378" t="s">
        <v>1027</v>
      </c>
      <c r="B378" t="s">
        <v>1028</v>
      </c>
      <c r="C378" t="s">
        <v>3</v>
      </c>
      <c r="E378" s="11" t="s">
        <v>1268</v>
      </c>
      <c r="F378" s="5">
        <v>44595</v>
      </c>
      <c r="G378" t="s">
        <v>611</v>
      </c>
      <c r="H378" t="s">
        <v>5</v>
      </c>
      <c r="I378" s="5">
        <v>44589</v>
      </c>
      <c r="J378" s="5">
        <v>44586</v>
      </c>
      <c r="K378" s="6">
        <v>0.5</v>
      </c>
      <c r="L378" s="5">
        <v>44586</v>
      </c>
      <c r="M378" s="6">
        <v>0.52777777777778001</v>
      </c>
      <c r="N378" s="5">
        <v>44595</v>
      </c>
      <c r="Q378" s="12">
        <f t="shared" si="15"/>
        <v>44586.5</v>
      </c>
      <c r="R378" s="12">
        <f t="shared" si="16"/>
        <v>44586.527777777781</v>
      </c>
      <c r="S378" s="13">
        <f t="shared" si="17"/>
        <v>2.7777777781011537E-2</v>
      </c>
    </row>
    <row r="379" spans="1:19" hidden="1" x14ac:dyDescent="0.2">
      <c r="A379" t="s">
        <v>1029</v>
      </c>
      <c r="B379" t="s">
        <v>1030</v>
      </c>
      <c r="C379" t="s">
        <v>3</v>
      </c>
      <c r="F379" s="5">
        <v>44595</v>
      </c>
      <c r="G379" t="s">
        <v>925</v>
      </c>
      <c r="H379" t="s">
        <v>5</v>
      </c>
      <c r="I379" s="5">
        <v>44594</v>
      </c>
      <c r="J379" s="5">
        <v>44585</v>
      </c>
      <c r="K379" s="6">
        <v>0.45833333333332998</v>
      </c>
      <c r="L379" s="5">
        <v>44585</v>
      </c>
      <c r="M379" s="6">
        <v>0.48611111111110999</v>
      </c>
      <c r="N379" s="5">
        <v>44595</v>
      </c>
      <c r="Q379" s="12">
        <f t="shared" si="15"/>
        <v>44585.458333333336</v>
      </c>
      <c r="R379" s="12">
        <f t="shared" si="16"/>
        <v>44585.486111111109</v>
      </c>
      <c r="S379" s="13">
        <f t="shared" si="17"/>
        <v>2.7777777773735579E-2</v>
      </c>
    </row>
    <row r="380" spans="1:19" hidden="1" x14ac:dyDescent="0.2">
      <c r="A380" t="s">
        <v>1031</v>
      </c>
      <c r="B380" t="s">
        <v>1032</v>
      </c>
      <c r="C380" t="s">
        <v>3</v>
      </c>
      <c r="F380" s="5">
        <v>44595</v>
      </c>
      <c r="G380" t="s">
        <v>1033</v>
      </c>
      <c r="H380" t="s">
        <v>5</v>
      </c>
      <c r="I380" s="5">
        <v>44594</v>
      </c>
      <c r="J380" s="5">
        <v>44581</v>
      </c>
      <c r="K380" s="6">
        <v>0.70833333333333004</v>
      </c>
      <c r="L380" s="5">
        <v>44581</v>
      </c>
      <c r="M380" s="6">
        <v>0.72916666666666996</v>
      </c>
      <c r="N380" s="5">
        <v>44595</v>
      </c>
      <c r="Q380" s="12">
        <f t="shared" si="15"/>
        <v>44581.708333333336</v>
      </c>
      <c r="R380" s="12">
        <f t="shared" si="16"/>
        <v>44581.729166666664</v>
      </c>
      <c r="S380" s="13">
        <f t="shared" si="17"/>
        <v>2.0833333328482695E-2</v>
      </c>
    </row>
    <row r="381" spans="1:19" hidden="1" x14ac:dyDescent="0.2">
      <c r="A381" t="s">
        <v>1034</v>
      </c>
      <c r="B381" t="s">
        <v>1035</v>
      </c>
      <c r="C381" t="s">
        <v>3</v>
      </c>
      <c r="F381" s="5">
        <v>44595</v>
      </c>
      <c r="G381" t="s">
        <v>1036</v>
      </c>
      <c r="H381" t="s">
        <v>5</v>
      </c>
      <c r="I381" s="5">
        <v>44594</v>
      </c>
      <c r="J381" s="5">
        <v>44572</v>
      </c>
      <c r="K381" s="6">
        <v>0.9375</v>
      </c>
      <c r="L381" s="5">
        <v>44572</v>
      </c>
      <c r="M381" s="6">
        <v>0.95833333333333004</v>
      </c>
      <c r="N381" s="5">
        <v>44595</v>
      </c>
      <c r="Q381" s="12">
        <f t="shared" si="15"/>
        <v>44572.9375</v>
      </c>
      <c r="R381" s="12">
        <f t="shared" si="16"/>
        <v>44572.958333333336</v>
      </c>
      <c r="S381" s="13">
        <f t="shared" si="17"/>
        <v>2.0833333335758653E-2</v>
      </c>
    </row>
    <row r="382" spans="1:19" x14ac:dyDescent="0.2">
      <c r="A382" t="s">
        <v>1037</v>
      </c>
      <c r="B382" t="s">
        <v>1038</v>
      </c>
      <c r="C382" t="s">
        <v>3</v>
      </c>
      <c r="E382" s="11" t="s">
        <v>1268</v>
      </c>
      <c r="F382" s="5">
        <v>44595</v>
      </c>
      <c r="G382" t="s">
        <v>611</v>
      </c>
      <c r="H382" t="s">
        <v>5</v>
      </c>
      <c r="I382" s="5">
        <v>44594</v>
      </c>
      <c r="J382" s="5">
        <v>44573</v>
      </c>
      <c r="K382" s="6">
        <v>0.625</v>
      </c>
      <c r="L382" s="5">
        <v>44573</v>
      </c>
      <c r="M382" s="6">
        <v>0.64583333333333004</v>
      </c>
      <c r="N382" s="5">
        <v>44595</v>
      </c>
      <c r="Q382" s="12">
        <f t="shared" si="15"/>
        <v>44573.625</v>
      </c>
      <c r="R382" s="12">
        <f t="shared" si="16"/>
        <v>44573.645833333336</v>
      </c>
      <c r="S382" s="13">
        <f t="shared" si="17"/>
        <v>2.0833333335758653E-2</v>
      </c>
    </row>
    <row r="383" spans="1:19" hidden="1" x14ac:dyDescent="0.2">
      <c r="A383" t="s">
        <v>1039</v>
      </c>
      <c r="B383" t="s">
        <v>1040</v>
      </c>
      <c r="C383" t="s">
        <v>3</v>
      </c>
      <c r="D383" s="11" t="s">
        <v>1266</v>
      </c>
      <c r="F383" s="5">
        <v>44596</v>
      </c>
      <c r="G383" t="s">
        <v>39</v>
      </c>
      <c r="H383" t="s">
        <v>5</v>
      </c>
      <c r="I383" s="5">
        <v>44595</v>
      </c>
      <c r="J383" s="5">
        <v>44583</v>
      </c>
      <c r="K383" s="6">
        <v>0.79861111111111005</v>
      </c>
      <c r="L383" s="5">
        <v>44583</v>
      </c>
      <c r="M383" s="6">
        <v>0.83333333333333004</v>
      </c>
      <c r="N383" s="5">
        <v>44596</v>
      </c>
      <c r="Q383" s="12">
        <f t="shared" si="15"/>
        <v>44583.798611111109</v>
      </c>
      <c r="R383" s="12">
        <f t="shared" si="16"/>
        <v>44583.833333333336</v>
      </c>
      <c r="S383" s="13">
        <f t="shared" si="17"/>
        <v>3.4722222226264421E-2</v>
      </c>
    </row>
    <row r="384" spans="1:19" x14ac:dyDescent="0.2">
      <c r="A384" t="s">
        <v>1041</v>
      </c>
      <c r="B384" t="s">
        <v>1042</v>
      </c>
      <c r="C384" t="s">
        <v>3</v>
      </c>
      <c r="E384" s="11" t="s">
        <v>1268</v>
      </c>
      <c r="F384" s="5">
        <v>44596</v>
      </c>
      <c r="G384" t="s">
        <v>1043</v>
      </c>
      <c r="H384" t="s">
        <v>5</v>
      </c>
      <c r="I384" s="5">
        <v>44595</v>
      </c>
      <c r="J384" s="5">
        <v>44580</v>
      </c>
      <c r="K384" s="6">
        <v>0.95833333333333004</v>
      </c>
      <c r="L384" s="5">
        <v>44580</v>
      </c>
      <c r="M384" s="6">
        <v>0.97222222222221999</v>
      </c>
      <c r="N384" s="5">
        <v>44596</v>
      </c>
      <c r="Q384" s="12">
        <f t="shared" si="15"/>
        <v>44580.958333333336</v>
      </c>
      <c r="R384" s="12">
        <f t="shared" si="16"/>
        <v>44580.972222222219</v>
      </c>
      <c r="S384" s="13">
        <f t="shared" si="17"/>
        <v>1.3888888883229811E-2</v>
      </c>
    </row>
    <row r="385" spans="1:19" hidden="1" x14ac:dyDescent="0.2">
      <c r="A385" t="s">
        <v>1044</v>
      </c>
      <c r="B385" t="s">
        <v>1045</v>
      </c>
      <c r="C385" t="s">
        <v>3</v>
      </c>
      <c r="F385" s="5">
        <v>44596</v>
      </c>
      <c r="G385" t="s">
        <v>1033</v>
      </c>
      <c r="H385" t="s">
        <v>5</v>
      </c>
      <c r="I385" s="5">
        <v>44595</v>
      </c>
      <c r="J385" s="5">
        <v>44580</v>
      </c>
      <c r="K385" s="6">
        <v>0.45833333333332998</v>
      </c>
      <c r="L385" s="5">
        <v>44580</v>
      </c>
      <c r="M385" s="6">
        <v>0.5</v>
      </c>
      <c r="N385" s="5">
        <v>44596</v>
      </c>
      <c r="Q385" s="12">
        <f t="shared" si="15"/>
        <v>44580.458333333336</v>
      </c>
      <c r="R385" s="12">
        <f t="shared" si="16"/>
        <v>44580.5</v>
      </c>
      <c r="S385" s="13">
        <f t="shared" si="17"/>
        <v>4.1666666664241347E-2</v>
      </c>
    </row>
    <row r="386" spans="1:19" x14ac:dyDescent="0.2">
      <c r="A386" t="s">
        <v>1046</v>
      </c>
      <c r="B386" t="s">
        <v>1047</v>
      </c>
      <c r="C386" t="s">
        <v>3</v>
      </c>
      <c r="E386" s="11" t="s">
        <v>1268</v>
      </c>
      <c r="F386" s="5">
        <v>44596</v>
      </c>
      <c r="G386" t="s">
        <v>1048</v>
      </c>
      <c r="H386" t="s">
        <v>5</v>
      </c>
      <c r="I386" s="5">
        <v>44595</v>
      </c>
      <c r="J386" s="5">
        <v>44575</v>
      </c>
      <c r="K386" s="6">
        <v>0.33333333333332998</v>
      </c>
      <c r="L386" s="5">
        <v>44575</v>
      </c>
      <c r="M386" s="6">
        <v>0.35069444444443998</v>
      </c>
      <c r="N386" s="5">
        <v>44596</v>
      </c>
      <c r="Q386" s="12">
        <f t="shared" si="15"/>
        <v>44575.333333333336</v>
      </c>
      <c r="R386" s="12">
        <f t="shared" si="16"/>
        <v>44575.350694444445</v>
      </c>
      <c r="S386" s="13">
        <f t="shared" si="17"/>
        <v>1.7361111109494232E-2</v>
      </c>
    </row>
    <row r="387" spans="1:19" hidden="1" x14ac:dyDescent="0.2">
      <c r="A387" t="s">
        <v>1049</v>
      </c>
      <c r="B387" t="s">
        <v>1050</v>
      </c>
      <c r="C387" t="s">
        <v>3</v>
      </c>
      <c r="F387" s="5">
        <v>44600</v>
      </c>
      <c r="G387" t="s">
        <v>1051</v>
      </c>
      <c r="H387" t="s">
        <v>5</v>
      </c>
      <c r="I387" s="5">
        <v>44599</v>
      </c>
      <c r="J387" s="5">
        <v>44596</v>
      </c>
      <c r="K387" s="6">
        <v>0.875</v>
      </c>
      <c r="L387" s="5">
        <v>44596</v>
      </c>
      <c r="M387" s="6">
        <v>0.89583333333333004</v>
      </c>
      <c r="N387" s="5">
        <v>44600</v>
      </c>
      <c r="Q387" s="12">
        <f t="shared" si="15"/>
        <v>44596.875</v>
      </c>
      <c r="R387" s="12">
        <f t="shared" si="16"/>
        <v>44596.895833333336</v>
      </c>
      <c r="S387" s="13">
        <f t="shared" si="17"/>
        <v>2.0833333335758653E-2</v>
      </c>
    </row>
    <row r="388" spans="1:19" hidden="1" x14ac:dyDescent="0.2">
      <c r="A388" t="s">
        <v>1052</v>
      </c>
      <c r="B388" t="s">
        <v>1053</v>
      </c>
      <c r="C388" t="s">
        <v>3</v>
      </c>
      <c r="F388" s="5">
        <v>44601</v>
      </c>
      <c r="G388" t="s">
        <v>1054</v>
      </c>
      <c r="H388" t="s">
        <v>15</v>
      </c>
      <c r="I388" s="5">
        <v>44599</v>
      </c>
      <c r="J388" s="5">
        <v>44599</v>
      </c>
      <c r="K388" s="6">
        <v>0.33333333333332998</v>
      </c>
      <c r="L388" s="5">
        <v>44599</v>
      </c>
      <c r="M388" s="6">
        <v>0.375</v>
      </c>
      <c r="N388" s="5">
        <v>44601</v>
      </c>
      <c r="Q388" s="12">
        <f t="shared" ref="Q388:Q451" si="18">J388+K388</f>
        <v>44599.333333333336</v>
      </c>
      <c r="R388" s="12">
        <f t="shared" ref="R388:R451" si="19">L388+M388</f>
        <v>44599.375</v>
      </c>
      <c r="S388" s="13">
        <f t="shared" ref="S388:S451" si="20">R388-Q388</f>
        <v>4.1666666664241347E-2</v>
      </c>
    </row>
    <row r="389" spans="1:19" x14ac:dyDescent="0.2">
      <c r="A389" t="s">
        <v>1055</v>
      </c>
      <c r="B389" t="s">
        <v>1056</v>
      </c>
      <c r="C389" t="s">
        <v>3</v>
      </c>
      <c r="E389" s="11" t="s">
        <v>1268</v>
      </c>
      <c r="F389" s="5">
        <v>44605</v>
      </c>
      <c r="G389" t="s">
        <v>611</v>
      </c>
      <c r="H389" t="s">
        <v>5</v>
      </c>
      <c r="I389" s="5">
        <v>44602</v>
      </c>
      <c r="J389" s="5">
        <v>44600</v>
      </c>
      <c r="K389" s="6">
        <v>0.66666666666666996</v>
      </c>
      <c r="L389" s="5">
        <v>44600</v>
      </c>
      <c r="M389" s="6">
        <v>0.70833333333333004</v>
      </c>
      <c r="N389" s="5">
        <v>44605</v>
      </c>
      <c r="Q389" s="12">
        <f t="shared" si="18"/>
        <v>44600.666666666664</v>
      </c>
      <c r="R389" s="12">
        <f t="shared" si="19"/>
        <v>44600.708333333336</v>
      </c>
      <c r="S389" s="13">
        <f t="shared" si="20"/>
        <v>4.1666666671517305E-2</v>
      </c>
    </row>
    <row r="390" spans="1:19" hidden="1" x14ac:dyDescent="0.2">
      <c r="A390" t="s">
        <v>1057</v>
      </c>
      <c r="B390" t="s">
        <v>1058</v>
      </c>
      <c r="C390" t="s">
        <v>3</v>
      </c>
      <c r="F390" s="5">
        <v>44609</v>
      </c>
      <c r="G390" t="s">
        <v>1059</v>
      </c>
      <c r="H390" t="s">
        <v>15</v>
      </c>
      <c r="I390" s="5">
        <v>44604</v>
      </c>
      <c r="J390" s="5">
        <v>44604</v>
      </c>
      <c r="K390" s="6">
        <v>4.1666666666670002E-2</v>
      </c>
      <c r="L390" s="5">
        <v>44604</v>
      </c>
      <c r="M390" s="6">
        <v>8.3333333333329998E-2</v>
      </c>
      <c r="N390" s="5">
        <v>44609</v>
      </c>
      <c r="Q390" s="12">
        <f t="shared" si="18"/>
        <v>44604.041666666664</v>
      </c>
      <c r="R390" s="12">
        <f t="shared" si="19"/>
        <v>44604.083333333336</v>
      </c>
      <c r="S390" s="13">
        <f t="shared" si="20"/>
        <v>4.1666666671517305E-2</v>
      </c>
    </row>
    <row r="391" spans="1:19" hidden="1" x14ac:dyDescent="0.2">
      <c r="A391" t="s">
        <v>1060</v>
      </c>
      <c r="B391" t="s">
        <v>1061</v>
      </c>
      <c r="C391" t="s">
        <v>3</v>
      </c>
      <c r="F391" s="5">
        <v>44612</v>
      </c>
      <c r="G391" t="s">
        <v>1062</v>
      </c>
      <c r="H391" t="s">
        <v>5</v>
      </c>
      <c r="I391" s="5">
        <v>44611</v>
      </c>
      <c r="J391" s="5">
        <v>44599</v>
      </c>
      <c r="K391" s="6">
        <v>0.86111111111111005</v>
      </c>
      <c r="L391" s="5">
        <v>44599</v>
      </c>
      <c r="M391" s="6">
        <v>0.89583333333333004</v>
      </c>
      <c r="N391" s="5">
        <v>44612</v>
      </c>
      <c r="Q391" s="12">
        <f t="shared" si="18"/>
        <v>44599.861111111109</v>
      </c>
      <c r="R391" s="12">
        <f t="shared" si="19"/>
        <v>44599.895833333336</v>
      </c>
      <c r="S391" s="13">
        <f t="shared" si="20"/>
        <v>3.4722222226264421E-2</v>
      </c>
    </row>
    <row r="392" spans="1:19" hidden="1" x14ac:dyDescent="0.2">
      <c r="A392" t="s">
        <v>1063</v>
      </c>
      <c r="B392" t="s">
        <v>1064</v>
      </c>
      <c r="C392" t="s">
        <v>3</v>
      </c>
      <c r="F392" s="5">
        <v>44617</v>
      </c>
      <c r="G392" t="s">
        <v>435</v>
      </c>
      <c r="H392" t="s">
        <v>5</v>
      </c>
      <c r="I392" s="5">
        <v>44616</v>
      </c>
      <c r="J392" s="5">
        <v>44602</v>
      </c>
      <c r="K392" s="6">
        <v>0.77083333333333004</v>
      </c>
      <c r="L392" s="5">
        <v>44602</v>
      </c>
      <c r="M392" s="6">
        <v>0.79166666666666996</v>
      </c>
      <c r="N392" s="5">
        <v>44617</v>
      </c>
      <c r="Q392" s="12">
        <f t="shared" si="18"/>
        <v>44602.770833333336</v>
      </c>
      <c r="R392" s="12">
        <f t="shared" si="19"/>
        <v>44602.791666666664</v>
      </c>
      <c r="S392" s="13">
        <f t="shared" si="20"/>
        <v>2.0833333328482695E-2</v>
      </c>
    </row>
    <row r="393" spans="1:19" hidden="1" x14ac:dyDescent="0.2">
      <c r="A393" t="s">
        <v>1065</v>
      </c>
      <c r="B393" t="s">
        <v>1066</v>
      </c>
      <c r="C393" t="s">
        <v>3</v>
      </c>
      <c r="F393" s="5">
        <v>44617</v>
      </c>
      <c r="G393" t="s">
        <v>1067</v>
      </c>
      <c r="H393" t="s">
        <v>5</v>
      </c>
      <c r="I393" s="5">
        <v>44616</v>
      </c>
      <c r="J393" s="5">
        <v>44602</v>
      </c>
      <c r="K393" s="6">
        <v>0.5</v>
      </c>
      <c r="L393" s="5">
        <v>44602</v>
      </c>
      <c r="M393" s="6">
        <v>0.54166666666666996</v>
      </c>
      <c r="N393" s="5">
        <v>44617</v>
      </c>
      <c r="Q393" s="12">
        <f t="shared" si="18"/>
        <v>44602.5</v>
      </c>
      <c r="R393" s="12">
        <f t="shared" si="19"/>
        <v>44602.541666666664</v>
      </c>
      <c r="S393" s="13">
        <f t="shared" si="20"/>
        <v>4.1666666664241347E-2</v>
      </c>
    </row>
    <row r="394" spans="1:19" x14ac:dyDescent="0.2">
      <c r="A394" t="s">
        <v>1068</v>
      </c>
      <c r="B394" t="s">
        <v>1069</v>
      </c>
      <c r="C394" t="s">
        <v>3</v>
      </c>
      <c r="E394" s="11" t="s">
        <v>1268</v>
      </c>
      <c r="F394" s="5">
        <v>44621</v>
      </c>
      <c r="G394" t="s">
        <v>992</v>
      </c>
      <c r="H394" t="s">
        <v>5</v>
      </c>
      <c r="I394" s="5">
        <v>44620</v>
      </c>
      <c r="J394" s="5">
        <v>44610</v>
      </c>
      <c r="K394" s="6">
        <v>0.4375</v>
      </c>
      <c r="L394" s="5">
        <v>44610</v>
      </c>
      <c r="M394" s="6">
        <v>0.46527777777778001</v>
      </c>
      <c r="N394" s="5">
        <v>44621</v>
      </c>
      <c r="Q394" s="12">
        <f t="shared" si="18"/>
        <v>44610.4375</v>
      </c>
      <c r="R394" s="12">
        <f t="shared" si="19"/>
        <v>44610.465277777781</v>
      </c>
      <c r="S394" s="13">
        <f t="shared" si="20"/>
        <v>2.7777777781011537E-2</v>
      </c>
    </row>
    <row r="395" spans="1:19" hidden="1" x14ac:dyDescent="0.2">
      <c r="A395" t="s">
        <v>1070</v>
      </c>
      <c r="B395" t="s">
        <v>1071</v>
      </c>
      <c r="C395" t="s">
        <v>3</v>
      </c>
      <c r="D395" s="11" t="s">
        <v>1266</v>
      </c>
      <c r="F395" s="5">
        <v>44621</v>
      </c>
      <c r="G395" t="s">
        <v>39</v>
      </c>
      <c r="H395" t="s">
        <v>5</v>
      </c>
      <c r="I395" s="5">
        <v>44620</v>
      </c>
      <c r="J395" s="5">
        <v>44610</v>
      </c>
      <c r="K395" s="6">
        <v>0.20138888888889001</v>
      </c>
      <c r="L395" s="5">
        <v>44610</v>
      </c>
      <c r="M395" s="6">
        <v>0.27083333333332998</v>
      </c>
      <c r="N395" s="5">
        <v>44621</v>
      </c>
      <c r="Q395" s="12">
        <f t="shared" si="18"/>
        <v>44610.201388888891</v>
      </c>
      <c r="R395" s="12">
        <f t="shared" si="19"/>
        <v>44610.270833333336</v>
      </c>
      <c r="S395" s="13">
        <f t="shared" si="20"/>
        <v>6.9444444445252884E-2</v>
      </c>
    </row>
    <row r="396" spans="1:19" hidden="1" x14ac:dyDescent="0.2">
      <c r="A396" t="s">
        <v>1072</v>
      </c>
      <c r="B396" t="s">
        <v>1073</v>
      </c>
      <c r="C396" t="s">
        <v>3</v>
      </c>
      <c r="F396" s="5">
        <v>44622</v>
      </c>
      <c r="G396" t="s">
        <v>1074</v>
      </c>
      <c r="H396" t="s">
        <v>5</v>
      </c>
      <c r="I396" s="5">
        <v>44620</v>
      </c>
      <c r="J396" s="5">
        <v>44607</v>
      </c>
      <c r="K396" s="6">
        <v>0.125</v>
      </c>
      <c r="L396" s="5">
        <v>44607</v>
      </c>
      <c r="M396" s="6">
        <v>0.1875</v>
      </c>
      <c r="N396" s="5">
        <v>44622</v>
      </c>
      <c r="Q396" s="12">
        <f t="shared" si="18"/>
        <v>44607.125</v>
      </c>
      <c r="R396" s="12">
        <f t="shared" si="19"/>
        <v>44607.1875</v>
      </c>
      <c r="S396" s="13">
        <f t="shared" si="20"/>
        <v>6.25E-2</v>
      </c>
    </row>
    <row r="397" spans="1:19" hidden="1" x14ac:dyDescent="0.2">
      <c r="A397" t="s">
        <v>1075</v>
      </c>
      <c r="B397" t="s">
        <v>1076</v>
      </c>
      <c r="C397" t="s">
        <v>3</v>
      </c>
      <c r="F397" s="5">
        <v>44622</v>
      </c>
      <c r="G397" t="s">
        <v>1077</v>
      </c>
      <c r="H397" t="s">
        <v>5</v>
      </c>
      <c r="I397" s="5">
        <v>44620</v>
      </c>
      <c r="J397" s="5">
        <v>44610</v>
      </c>
      <c r="K397" s="6">
        <v>0.41666666666667002</v>
      </c>
      <c r="L397" s="5">
        <v>44610</v>
      </c>
      <c r="M397" s="6">
        <v>0.45833333333332998</v>
      </c>
      <c r="N397" s="5">
        <v>44622</v>
      </c>
      <c r="Q397" s="12">
        <f t="shared" si="18"/>
        <v>44610.416666666664</v>
      </c>
      <c r="R397" s="12">
        <f t="shared" si="19"/>
        <v>44610.458333333336</v>
      </c>
      <c r="S397" s="13">
        <f t="shared" si="20"/>
        <v>4.1666666671517305E-2</v>
      </c>
    </row>
    <row r="398" spans="1:19" hidden="1" x14ac:dyDescent="0.2">
      <c r="A398" t="s">
        <v>1078</v>
      </c>
      <c r="B398" t="s">
        <v>1079</v>
      </c>
      <c r="C398" t="s">
        <v>3</v>
      </c>
      <c r="F398" s="5">
        <v>44650</v>
      </c>
      <c r="G398" t="s">
        <v>1080</v>
      </c>
      <c r="H398" t="s">
        <v>5</v>
      </c>
      <c r="I398" s="5">
        <v>44649</v>
      </c>
      <c r="J398" s="5">
        <v>44627</v>
      </c>
      <c r="K398" s="6">
        <v>0.58333333333333004</v>
      </c>
      <c r="L398" s="5">
        <v>44627</v>
      </c>
      <c r="M398" s="6">
        <v>0.70833333333333004</v>
      </c>
      <c r="N398" s="5">
        <v>44650</v>
      </c>
      <c r="Q398" s="12">
        <f t="shared" si="18"/>
        <v>44627.583333333336</v>
      </c>
      <c r="R398" s="12">
        <f t="shared" si="19"/>
        <v>44627.708333333336</v>
      </c>
      <c r="S398" s="13">
        <f t="shared" si="20"/>
        <v>0.125</v>
      </c>
    </row>
    <row r="399" spans="1:19" hidden="1" x14ac:dyDescent="0.2">
      <c r="A399" t="s">
        <v>1081</v>
      </c>
      <c r="B399" t="s">
        <v>1082</v>
      </c>
      <c r="C399" t="s">
        <v>3</v>
      </c>
      <c r="F399" s="5">
        <v>44653</v>
      </c>
      <c r="G399" t="s">
        <v>1083</v>
      </c>
      <c r="H399" t="s">
        <v>5</v>
      </c>
      <c r="I399" s="5">
        <v>44652</v>
      </c>
      <c r="J399" s="5">
        <v>44637</v>
      </c>
      <c r="K399" s="6">
        <v>0.875</v>
      </c>
      <c r="L399" s="5">
        <v>44637</v>
      </c>
      <c r="M399" s="6">
        <v>0.89583333333333004</v>
      </c>
      <c r="N399" s="5">
        <v>44653</v>
      </c>
      <c r="Q399" s="12">
        <f t="shared" si="18"/>
        <v>44637.875</v>
      </c>
      <c r="R399" s="12">
        <f t="shared" si="19"/>
        <v>44637.895833333336</v>
      </c>
      <c r="S399" s="13">
        <f t="shared" si="20"/>
        <v>2.0833333335758653E-2</v>
      </c>
    </row>
    <row r="400" spans="1:19" hidden="1" x14ac:dyDescent="0.2">
      <c r="A400" t="s">
        <v>1084</v>
      </c>
      <c r="B400" t="s">
        <v>1085</v>
      </c>
      <c r="C400" t="s">
        <v>3</v>
      </c>
      <c r="F400" s="5">
        <v>44655</v>
      </c>
      <c r="G400" t="s">
        <v>1086</v>
      </c>
      <c r="H400" t="s">
        <v>5</v>
      </c>
      <c r="I400" s="5">
        <v>44655</v>
      </c>
      <c r="J400" s="5">
        <v>44655</v>
      </c>
      <c r="K400" s="6">
        <v>0.375</v>
      </c>
      <c r="L400" s="5">
        <v>44655</v>
      </c>
      <c r="M400" s="6">
        <v>0.75</v>
      </c>
      <c r="N400" s="5">
        <v>44655</v>
      </c>
      <c r="Q400" s="12">
        <f t="shared" si="18"/>
        <v>44655.375</v>
      </c>
      <c r="R400" s="12">
        <f t="shared" si="19"/>
        <v>44655.75</v>
      </c>
      <c r="S400" s="13">
        <f t="shared" si="20"/>
        <v>0.375</v>
      </c>
    </row>
    <row r="401" spans="1:19" x14ac:dyDescent="0.2">
      <c r="A401" t="s">
        <v>1087</v>
      </c>
      <c r="B401" t="s">
        <v>1088</v>
      </c>
      <c r="C401" t="s">
        <v>3</v>
      </c>
      <c r="E401" s="11" t="s">
        <v>1268</v>
      </c>
      <c r="F401" s="5">
        <v>44657</v>
      </c>
      <c r="G401" t="s">
        <v>611</v>
      </c>
      <c r="H401" t="s">
        <v>5</v>
      </c>
      <c r="I401" s="5">
        <v>44656</v>
      </c>
      <c r="J401" s="5">
        <v>44643</v>
      </c>
      <c r="K401" s="6">
        <v>0.5</v>
      </c>
      <c r="L401" s="5">
        <v>44643</v>
      </c>
      <c r="M401" s="6">
        <v>0.54166666666666996</v>
      </c>
      <c r="N401" s="5">
        <v>44657</v>
      </c>
      <c r="Q401" s="12">
        <f t="shared" si="18"/>
        <v>44643.5</v>
      </c>
      <c r="R401" s="12">
        <f t="shared" si="19"/>
        <v>44643.541666666664</v>
      </c>
      <c r="S401" s="13">
        <f t="shared" si="20"/>
        <v>4.1666666664241347E-2</v>
      </c>
    </row>
    <row r="402" spans="1:19" x14ac:dyDescent="0.2">
      <c r="A402" t="s">
        <v>1089</v>
      </c>
      <c r="B402" t="s">
        <v>1090</v>
      </c>
      <c r="C402" t="s">
        <v>3</v>
      </c>
      <c r="E402" s="11" t="s">
        <v>1268</v>
      </c>
      <c r="F402" s="5">
        <v>44657</v>
      </c>
      <c r="G402" t="s">
        <v>904</v>
      </c>
      <c r="H402" t="s">
        <v>5</v>
      </c>
      <c r="I402" s="5">
        <v>44656</v>
      </c>
      <c r="J402" s="5">
        <v>44643</v>
      </c>
      <c r="K402" s="6">
        <v>0.54166666666666996</v>
      </c>
      <c r="L402" s="5">
        <v>44643</v>
      </c>
      <c r="M402" s="6">
        <v>0.5625</v>
      </c>
      <c r="N402" s="5">
        <v>44657</v>
      </c>
      <c r="Q402" s="12">
        <f t="shared" si="18"/>
        <v>44643.541666666664</v>
      </c>
      <c r="R402" s="12">
        <f t="shared" si="19"/>
        <v>44643.5625</v>
      </c>
      <c r="S402" s="13">
        <f t="shared" si="20"/>
        <v>2.0833333335758653E-2</v>
      </c>
    </row>
    <row r="403" spans="1:19" hidden="1" x14ac:dyDescent="0.2">
      <c r="A403" t="s">
        <v>1091</v>
      </c>
      <c r="B403" t="s">
        <v>1092</v>
      </c>
      <c r="C403" t="s">
        <v>3</v>
      </c>
      <c r="F403" s="5">
        <v>44657</v>
      </c>
      <c r="G403" t="s">
        <v>1093</v>
      </c>
      <c r="H403" t="s">
        <v>5</v>
      </c>
      <c r="I403" s="5">
        <v>44656</v>
      </c>
      <c r="J403" s="5">
        <v>44641</v>
      </c>
      <c r="K403" s="6">
        <v>0.375</v>
      </c>
      <c r="L403" s="5">
        <v>44641</v>
      </c>
      <c r="M403" s="6">
        <v>0.4375</v>
      </c>
      <c r="N403" s="5">
        <v>44657</v>
      </c>
      <c r="Q403" s="12">
        <f t="shared" si="18"/>
        <v>44641.375</v>
      </c>
      <c r="R403" s="12">
        <f t="shared" si="19"/>
        <v>44641.4375</v>
      </c>
      <c r="S403" s="13">
        <f t="shared" si="20"/>
        <v>6.25E-2</v>
      </c>
    </row>
    <row r="404" spans="1:19" hidden="1" x14ac:dyDescent="0.2">
      <c r="A404" t="s">
        <v>1094</v>
      </c>
      <c r="B404" t="s">
        <v>1095</v>
      </c>
      <c r="C404" t="s">
        <v>3</v>
      </c>
      <c r="F404" s="5">
        <v>44657</v>
      </c>
      <c r="G404" t="s">
        <v>925</v>
      </c>
      <c r="H404" t="s">
        <v>5</v>
      </c>
      <c r="I404" s="5">
        <v>44656</v>
      </c>
      <c r="J404" s="5">
        <v>44639</v>
      </c>
      <c r="K404" s="6">
        <v>0.33333333333332998</v>
      </c>
      <c r="L404" s="5">
        <v>44639</v>
      </c>
      <c r="M404" s="6">
        <v>0.375</v>
      </c>
      <c r="N404" s="5">
        <v>44657</v>
      </c>
      <c r="Q404" s="12">
        <f t="shared" si="18"/>
        <v>44639.333333333336</v>
      </c>
      <c r="R404" s="12">
        <f t="shared" si="19"/>
        <v>44639.375</v>
      </c>
      <c r="S404" s="13">
        <f t="shared" si="20"/>
        <v>4.1666666664241347E-2</v>
      </c>
    </row>
    <row r="405" spans="1:19" hidden="1" x14ac:dyDescent="0.2">
      <c r="A405" t="s">
        <v>1096</v>
      </c>
      <c r="B405" t="s">
        <v>1097</v>
      </c>
      <c r="C405" t="s">
        <v>3</v>
      </c>
      <c r="F405" s="5">
        <v>44680</v>
      </c>
      <c r="G405" t="s">
        <v>1098</v>
      </c>
      <c r="H405" t="s">
        <v>5</v>
      </c>
      <c r="I405" s="5">
        <v>44679</v>
      </c>
      <c r="J405" s="5"/>
      <c r="K405" s="6">
        <v>0</v>
      </c>
      <c r="L405" s="5"/>
      <c r="M405" s="6">
        <v>0</v>
      </c>
      <c r="N405" s="5">
        <v>44680</v>
      </c>
      <c r="Q405" s="12">
        <f t="shared" si="18"/>
        <v>0</v>
      </c>
      <c r="R405" s="12">
        <f t="shared" si="19"/>
        <v>0</v>
      </c>
      <c r="S405" s="13">
        <f t="shared" si="20"/>
        <v>0</v>
      </c>
    </row>
    <row r="406" spans="1:19" hidden="1" x14ac:dyDescent="0.2">
      <c r="A406" t="s">
        <v>1099</v>
      </c>
      <c r="B406" t="s">
        <v>1100</v>
      </c>
      <c r="C406" t="s">
        <v>3</v>
      </c>
      <c r="F406" s="5">
        <v>44680</v>
      </c>
      <c r="G406" t="s">
        <v>1101</v>
      </c>
      <c r="H406" t="s">
        <v>5</v>
      </c>
      <c r="I406" s="5">
        <v>44679</v>
      </c>
      <c r="J406" s="5">
        <v>44658</v>
      </c>
      <c r="K406" s="6">
        <v>0.10416666666667</v>
      </c>
      <c r="L406" s="5">
        <v>44658</v>
      </c>
      <c r="M406" s="6">
        <v>0.125</v>
      </c>
      <c r="N406" s="5">
        <v>44680</v>
      </c>
      <c r="Q406" s="12">
        <f t="shared" si="18"/>
        <v>44658.104166666664</v>
      </c>
      <c r="R406" s="12">
        <f t="shared" si="19"/>
        <v>44658.125</v>
      </c>
      <c r="S406" s="13">
        <f t="shared" si="20"/>
        <v>2.0833333335758653E-2</v>
      </c>
    </row>
    <row r="407" spans="1:19" hidden="1" x14ac:dyDescent="0.2">
      <c r="A407" t="s">
        <v>1102</v>
      </c>
      <c r="B407" t="s">
        <v>1103</v>
      </c>
      <c r="C407" t="s">
        <v>3</v>
      </c>
      <c r="F407" s="5">
        <v>44680</v>
      </c>
      <c r="G407" t="s">
        <v>1104</v>
      </c>
      <c r="H407" t="s">
        <v>5</v>
      </c>
      <c r="I407" s="5">
        <v>44679</v>
      </c>
      <c r="J407" s="5">
        <v>44659</v>
      </c>
      <c r="K407" s="6">
        <v>0.16666666666666999</v>
      </c>
      <c r="L407" s="5">
        <v>44659</v>
      </c>
      <c r="M407" s="6">
        <v>0.1875</v>
      </c>
      <c r="N407" s="5">
        <v>44680</v>
      </c>
      <c r="Q407" s="12">
        <f t="shared" si="18"/>
        <v>44659.166666666664</v>
      </c>
      <c r="R407" s="12">
        <f t="shared" si="19"/>
        <v>44659.1875</v>
      </c>
      <c r="S407" s="13">
        <f t="shared" si="20"/>
        <v>2.0833333335758653E-2</v>
      </c>
    </row>
    <row r="408" spans="1:19" hidden="1" x14ac:dyDescent="0.2">
      <c r="A408" t="s">
        <v>1105</v>
      </c>
      <c r="B408" t="s">
        <v>1106</v>
      </c>
      <c r="C408" t="s">
        <v>3</v>
      </c>
      <c r="F408" s="5">
        <v>44680</v>
      </c>
      <c r="G408" t="s">
        <v>723</v>
      </c>
      <c r="H408" t="s">
        <v>5</v>
      </c>
      <c r="I408" s="5">
        <v>44679</v>
      </c>
      <c r="J408" s="5">
        <v>44662</v>
      </c>
      <c r="K408" s="6">
        <v>0.625</v>
      </c>
      <c r="L408" s="5">
        <v>44662</v>
      </c>
      <c r="M408" s="6">
        <v>0.70833333333333004</v>
      </c>
      <c r="N408" s="5">
        <v>44680</v>
      </c>
      <c r="Q408" s="12">
        <f t="shared" si="18"/>
        <v>44662.625</v>
      </c>
      <c r="R408" s="12">
        <f t="shared" si="19"/>
        <v>44662.708333333336</v>
      </c>
      <c r="S408" s="13">
        <f t="shared" si="20"/>
        <v>8.3333333335758653E-2</v>
      </c>
    </row>
    <row r="409" spans="1:19" x14ac:dyDescent="0.2">
      <c r="A409" t="s">
        <v>1107</v>
      </c>
      <c r="B409" t="s">
        <v>1108</v>
      </c>
      <c r="C409" t="s">
        <v>3</v>
      </c>
      <c r="E409" s="11" t="s">
        <v>1268</v>
      </c>
      <c r="F409" s="5">
        <v>44680</v>
      </c>
      <c r="G409" t="s">
        <v>1109</v>
      </c>
      <c r="H409" t="s">
        <v>5</v>
      </c>
      <c r="I409" s="5">
        <v>44679</v>
      </c>
      <c r="J409" s="5">
        <v>44670</v>
      </c>
      <c r="K409" s="6">
        <v>0.5</v>
      </c>
      <c r="L409" s="5">
        <v>44670</v>
      </c>
      <c r="M409" s="6">
        <v>0.54166666666666996</v>
      </c>
      <c r="N409" s="5">
        <v>44680</v>
      </c>
      <c r="Q409" s="12">
        <f t="shared" si="18"/>
        <v>44670.5</v>
      </c>
      <c r="R409" s="12">
        <f t="shared" si="19"/>
        <v>44670.541666666664</v>
      </c>
      <c r="S409" s="13">
        <f t="shared" si="20"/>
        <v>4.1666666664241347E-2</v>
      </c>
    </row>
    <row r="410" spans="1:19" hidden="1" x14ac:dyDescent="0.2">
      <c r="A410" t="s">
        <v>1110</v>
      </c>
      <c r="B410" t="s">
        <v>1111</v>
      </c>
      <c r="C410" t="s">
        <v>3</v>
      </c>
      <c r="F410" s="5">
        <v>44680</v>
      </c>
      <c r="G410" t="s">
        <v>1112</v>
      </c>
      <c r="H410" t="s">
        <v>5</v>
      </c>
      <c r="I410" s="5">
        <v>44679</v>
      </c>
      <c r="J410" s="5"/>
      <c r="K410" s="6">
        <v>0</v>
      </c>
      <c r="L410" s="5"/>
      <c r="M410" s="6">
        <v>0</v>
      </c>
      <c r="N410" s="5">
        <v>44680</v>
      </c>
      <c r="Q410" s="12">
        <f t="shared" si="18"/>
        <v>0</v>
      </c>
      <c r="R410" s="12">
        <f t="shared" si="19"/>
        <v>0</v>
      </c>
      <c r="S410" s="13">
        <f t="shared" si="20"/>
        <v>0</v>
      </c>
    </row>
    <row r="411" spans="1:19" hidden="1" x14ac:dyDescent="0.2">
      <c r="A411" t="s">
        <v>1113</v>
      </c>
      <c r="B411" t="s">
        <v>1114</v>
      </c>
      <c r="C411" t="s">
        <v>3</v>
      </c>
      <c r="F411" s="5">
        <v>44680</v>
      </c>
      <c r="G411" t="s">
        <v>1115</v>
      </c>
      <c r="H411" t="s">
        <v>5</v>
      </c>
      <c r="I411" s="5">
        <v>44679</v>
      </c>
      <c r="J411" s="5">
        <v>44670</v>
      </c>
      <c r="K411" s="6">
        <v>0.91666666666666996</v>
      </c>
      <c r="L411" s="5">
        <v>44670</v>
      </c>
      <c r="M411" s="6">
        <v>0.9375</v>
      </c>
      <c r="N411" s="5">
        <v>44680</v>
      </c>
      <c r="Q411" s="12">
        <f t="shared" si="18"/>
        <v>44670.916666666664</v>
      </c>
      <c r="R411" s="12">
        <f t="shared" si="19"/>
        <v>44670.9375</v>
      </c>
      <c r="S411" s="13">
        <f t="shared" si="20"/>
        <v>2.0833333335758653E-2</v>
      </c>
    </row>
    <row r="412" spans="1:19" hidden="1" x14ac:dyDescent="0.2">
      <c r="A412" t="s">
        <v>1116</v>
      </c>
      <c r="B412" t="s">
        <v>1117</v>
      </c>
      <c r="C412" t="s">
        <v>3</v>
      </c>
      <c r="F412" s="5">
        <v>44680</v>
      </c>
      <c r="G412" t="s">
        <v>1118</v>
      </c>
      <c r="H412" t="s">
        <v>5</v>
      </c>
      <c r="I412" s="5">
        <v>44677</v>
      </c>
      <c r="J412" s="5">
        <v>44674</v>
      </c>
      <c r="K412" s="6">
        <v>0.70833333333333004</v>
      </c>
      <c r="L412" s="5">
        <v>44674</v>
      </c>
      <c r="M412" s="6">
        <v>0.75</v>
      </c>
      <c r="N412" s="5">
        <v>44680</v>
      </c>
      <c r="Q412" s="12">
        <f t="shared" si="18"/>
        <v>44674.708333333336</v>
      </c>
      <c r="R412" s="12">
        <f t="shared" si="19"/>
        <v>44674.75</v>
      </c>
      <c r="S412" s="13">
        <f t="shared" si="20"/>
        <v>4.1666666664241347E-2</v>
      </c>
    </row>
    <row r="413" spans="1:19" hidden="1" x14ac:dyDescent="0.2">
      <c r="A413" t="s">
        <v>1119</v>
      </c>
      <c r="B413" t="s">
        <v>1120</v>
      </c>
      <c r="C413" t="s">
        <v>3</v>
      </c>
      <c r="F413" s="5">
        <v>44680</v>
      </c>
      <c r="G413" t="s">
        <v>1121</v>
      </c>
      <c r="H413" t="s">
        <v>327</v>
      </c>
      <c r="I413" s="5">
        <v>44679</v>
      </c>
      <c r="J413" s="5">
        <v>44669</v>
      </c>
      <c r="K413" s="6">
        <v>0.625</v>
      </c>
      <c r="L413" s="5">
        <v>44669</v>
      </c>
      <c r="M413" s="6">
        <v>0.66666666666666996</v>
      </c>
      <c r="N413" s="5">
        <v>44680</v>
      </c>
      <c r="Q413" s="12">
        <f t="shared" si="18"/>
        <v>44669.625</v>
      </c>
      <c r="R413" s="12">
        <f t="shared" si="19"/>
        <v>44669.666666666664</v>
      </c>
      <c r="S413" s="13">
        <f t="shared" si="20"/>
        <v>4.1666666664241347E-2</v>
      </c>
    </row>
    <row r="414" spans="1:19" hidden="1" x14ac:dyDescent="0.2">
      <c r="A414" t="s">
        <v>1122</v>
      </c>
      <c r="B414" t="s">
        <v>1123</v>
      </c>
      <c r="C414" t="s">
        <v>3</v>
      </c>
      <c r="F414" s="5">
        <v>44681</v>
      </c>
      <c r="G414" t="s">
        <v>1124</v>
      </c>
      <c r="H414" t="s">
        <v>5</v>
      </c>
      <c r="I414" s="5">
        <v>44678</v>
      </c>
      <c r="J414" s="5">
        <v>44678</v>
      </c>
      <c r="K414" s="6">
        <v>0.52083333333333004</v>
      </c>
      <c r="L414" s="5">
        <v>44678</v>
      </c>
      <c r="M414" s="6">
        <v>0.54166666666666996</v>
      </c>
      <c r="N414" s="5">
        <v>44681</v>
      </c>
      <c r="Q414" s="12">
        <f t="shared" si="18"/>
        <v>44678.520833333336</v>
      </c>
      <c r="R414" s="12">
        <f t="shared" si="19"/>
        <v>44678.541666666664</v>
      </c>
      <c r="S414" s="13">
        <f t="shared" si="20"/>
        <v>2.0833333328482695E-2</v>
      </c>
    </row>
    <row r="415" spans="1:19" hidden="1" x14ac:dyDescent="0.2">
      <c r="A415" t="s">
        <v>1125</v>
      </c>
      <c r="B415" t="s">
        <v>1126</v>
      </c>
      <c r="C415" t="s">
        <v>3</v>
      </c>
      <c r="D415" s="11" t="s">
        <v>1266</v>
      </c>
      <c r="F415" s="5">
        <v>44681</v>
      </c>
      <c r="G415" t="s">
        <v>1127</v>
      </c>
      <c r="H415" t="s">
        <v>5</v>
      </c>
      <c r="I415" s="5">
        <v>44678</v>
      </c>
      <c r="J415" s="5">
        <v>44677</v>
      </c>
      <c r="K415" s="6">
        <v>0.57638888888888995</v>
      </c>
      <c r="L415" s="5">
        <v>44677</v>
      </c>
      <c r="M415" s="6">
        <v>0.66666666666666996</v>
      </c>
      <c r="N415" s="5">
        <v>44681</v>
      </c>
      <c r="Q415" s="12">
        <f t="shared" si="18"/>
        <v>44677.576388888891</v>
      </c>
      <c r="R415" s="12">
        <f t="shared" si="19"/>
        <v>44677.666666666664</v>
      </c>
      <c r="S415" s="13">
        <f t="shared" si="20"/>
        <v>9.0277777773735579E-2</v>
      </c>
    </row>
    <row r="416" spans="1:19" x14ac:dyDescent="0.2">
      <c r="A416" t="s">
        <v>1128</v>
      </c>
      <c r="B416" t="s">
        <v>1129</v>
      </c>
      <c r="C416" t="s">
        <v>3</v>
      </c>
      <c r="E416" s="11" t="s">
        <v>1268</v>
      </c>
      <c r="F416" s="5">
        <v>44681</v>
      </c>
      <c r="G416" t="s">
        <v>611</v>
      </c>
      <c r="H416" t="s">
        <v>5</v>
      </c>
      <c r="I416" s="5">
        <v>44677</v>
      </c>
      <c r="J416" s="5"/>
      <c r="K416" s="6">
        <v>0</v>
      </c>
      <c r="L416" s="5"/>
      <c r="M416" s="6">
        <v>0</v>
      </c>
      <c r="N416" s="5">
        <v>44681</v>
      </c>
      <c r="Q416" s="12">
        <f t="shared" si="18"/>
        <v>0</v>
      </c>
      <c r="R416" s="12">
        <f t="shared" si="19"/>
        <v>0</v>
      </c>
      <c r="S416" s="13">
        <f t="shared" si="20"/>
        <v>0</v>
      </c>
    </row>
    <row r="417" spans="1:19" hidden="1" x14ac:dyDescent="0.2">
      <c r="A417" t="s">
        <v>1130</v>
      </c>
      <c r="B417" t="s">
        <v>1131</v>
      </c>
      <c r="C417" t="s">
        <v>3</v>
      </c>
      <c r="F417" s="5">
        <v>44685</v>
      </c>
      <c r="G417" t="s">
        <v>1132</v>
      </c>
      <c r="H417" t="s">
        <v>15</v>
      </c>
      <c r="I417" s="5">
        <v>44679</v>
      </c>
      <c r="J417" s="5">
        <v>44679</v>
      </c>
      <c r="K417" s="6">
        <v>0.875</v>
      </c>
      <c r="L417" s="5">
        <v>44679</v>
      </c>
      <c r="M417" s="6">
        <v>0.91666666666666996</v>
      </c>
      <c r="N417" s="5">
        <v>44685</v>
      </c>
      <c r="Q417" s="12">
        <f t="shared" si="18"/>
        <v>44679.875</v>
      </c>
      <c r="R417" s="12">
        <f t="shared" si="19"/>
        <v>44679.916666666664</v>
      </c>
      <c r="S417" s="13">
        <f t="shared" si="20"/>
        <v>4.1666666664241347E-2</v>
      </c>
    </row>
    <row r="418" spans="1:19" hidden="1" x14ac:dyDescent="0.2">
      <c r="A418" t="s">
        <v>1133</v>
      </c>
      <c r="B418" t="s">
        <v>1134</v>
      </c>
      <c r="C418" t="s">
        <v>3</v>
      </c>
      <c r="F418" s="5">
        <v>44694</v>
      </c>
      <c r="G418" t="s">
        <v>1135</v>
      </c>
      <c r="H418" t="s">
        <v>5</v>
      </c>
      <c r="I418" s="5">
        <v>44695</v>
      </c>
      <c r="J418" s="5"/>
      <c r="K418" s="6">
        <v>0</v>
      </c>
      <c r="L418" s="5"/>
      <c r="M418" s="6">
        <v>0</v>
      </c>
      <c r="N418" s="5">
        <v>44694</v>
      </c>
      <c r="Q418" s="12">
        <f t="shared" si="18"/>
        <v>0</v>
      </c>
      <c r="R418" s="12">
        <f t="shared" si="19"/>
        <v>0</v>
      </c>
      <c r="S418" s="13">
        <f t="shared" si="20"/>
        <v>0</v>
      </c>
    </row>
    <row r="419" spans="1:19" hidden="1" x14ac:dyDescent="0.2">
      <c r="A419" t="s">
        <v>1136</v>
      </c>
      <c r="B419" t="s">
        <v>1137</v>
      </c>
      <c r="C419" t="s">
        <v>3</v>
      </c>
      <c r="F419" s="5">
        <v>44702</v>
      </c>
      <c r="G419" t="s">
        <v>971</v>
      </c>
      <c r="H419" t="s">
        <v>5</v>
      </c>
      <c r="I419" s="5">
        <v>44702</v>
      </c>
      <c r="J419" s="5">
        <v>44702</v>
      </c>
      <c r="K419" s="6">
        <v>0.33333333333332998</v>
      </c>
      <c r="L419" s="5">
        <v>44702</v>
      </c>
      <c r="M419" s="6">
        <v>0.35416666666667002</v>
      </c>
      <c r="N419" s="5">
        <v>44702</v>
      </c>
      <c r="Q419" s="12">
        <f t="shared" si="18"/>
        <v>44702.333333333336</v>
      </c>
      <c r="R419" s="12">
        <f t="shared" si="19"/>
        <v>44702.354166666664</v>
      </c>
      <c r="S419" s="13">
        <f t="shared" si="20"/>
        <v>2.0833333328482695E-2</v>
      </c>
    </row>
    <row r="420" spans="1:19" hidden="1" x14ac:dyDescent="0.2">
      <c r="A420" t="s">
        <v>1138</v>
      </c>
      <c r="B420" t="s">
        <v>1139</v>
      </c>
      <c r="C420" t="s">
        <v>3</v>
      </c>
      <c r="D420" s="11" t="s">
        <v>1266</v>
      </c>
      <c r="F420" s="5">
        <v>44704</v>
      </c>
      <c r="G420" t="s">
        <v>39</v>
      </c>
      <c r="H420" t="s">
        <v>5</v>
      </c>
      <c r="I420" s="5">
        <v>44703</v>
      </c>
      <c r="J420" s="5">
        <v>44686</v>
      </c>
      <c r="K420" s="6">
        <v>0.875</v>
      </c>
      <c r="L420" s="5">
        <v>44686</v>
      </c>
      <c r="M420" s="6">
        <v>0.95833333333333004</v>
      </c>
      <c r="N420" s="5">
        <v>44704</v>
      </c>
      <c r="Q420" s="12">
        <f t="shared" si="18"/>
        <v>44686.875</v>
      </c>
      <c r="R420" s="12">
        <f t="shared" si="19"/>
        <v>44686.958333333336</v>
      </c>
      <c r="S420" s="13">
        <f t="shared" si="20"/>
        <v>8.3333333335758653E-2</v>
      </c>
    </row>
    <row r="421" spans="1:19" x14ac:dyDescent="0.2">
      <c r="A421" t="s">
        <v>1140</v>
      </c>
      <c r="B421" t="s">
        <v>1141</v>
      </c>
      <c r="C421" t="s">
        <v>3</v>
      </c>
      <c r="E421" s="11" t="s">
        <v>1268</v>
      </c>
      <c r="F421" s="5">
        <v>44704</v>
      </c>
      <c r="G421" t="s">
        <v>611</v>
      </c>
      <c r="H421" t="s">
        <v>5</v>
      </c>
      <c r="I421" s="5">
        <v>44704</v>
      </c>
      <c r="J421" s="5">
        <v>44704</v>
      </c>
      <c r="K421" s="6">
        <v>4.1666666666670002E-2</v>
      </c>
      <c r="L421" s="5">
        <v>44704</v>
      </c>
      <c r="M421" s="6">
        <v>0.14583333333333001</v>
      </c>
      <c r="N421" s="5">
        <v>44704</v>
      </c>
      <c r="Q421" s="12">
        <f t="shared" si="18"/>
        <v>44704.041666666664</v>
      </c>
      <c r="R421" s="12">
        <f t="shared" si="19"/>
        <v>44704.145833333336</v>
      </c>
      <c r="S421" s="13">
        <f t="shared" si="20"/>
        <v>0.10416666667151731</v>
      </c>
    </row>
    <row r="422" spans="1:19" hidden="1" x14ac:dyDescent="0.2">
      <c r="A422" t="s">
        <v>1142</v>
      </c>
      <c r="B422" t="s">
        <v>1143</v>
      </c>
      <c r="C422" t="s">
        <v>3</v>
      </c>
      <c r="D422" s="11" t="s">
        <v>1266</v>
      </c>
      <c r="F422" s="5">
        <v>44707</v>
      </c>
      <c r="G422" t="s">
        <v>39</v>
      </c>
      <c r="H422" t="s">
        <v>5</v>
      </c>
      <c r="I422" s="5">
        <v>44706</v>
      </c>
      <c r="J422" s="5">
        <v>44691</v>
      </c>
      <c r="K422" s="6">
        <v>0.125</v>
      </c>
      <c r="L422" s="5">
        <v>44691</v>
      </c>
      <c r="M422" s="6">
        <v>0.20833333333333001</v>
      </c>
      <c r="N422" s="5">
        <v>44707</v>
      </c>
      <c r="Q422" s="12">
        <f t="shared" si="18"/>
        <v>44691.125</v>
      </c>
      <c r="R422" s="12">
        <f t="shared" si="19"/>
        <v>44691.208333333336</v>
      </c>
      <c r="S422" s="13">
        <f t="shared" si="20"/>
        <v>8.3333333335758653E-2</v>
      </c>
    </row>
    <row r="423" spans="1:19" x14ac:dyDescent="0.2">
      <c r="A423" t="s">
        <v>1144</v>
      </c>
      <c r="B423" t="s">
        <v>1145</v>
      </c>
      <c r="C423" t="s">
        <v>3</v>
      </c>
      <c r="E423" s="11" t="s">
        <v>1268</v>
      </c>
      <c r="F423" s="5">
        <v>44708</v>
      </c>
      <c r="G423" t="s">
        <v>611</v>
      </c>
      <c r="H423" t="s">
        <v>5</v>
      </c>
      <c r="I423" s="5">
        <v>44707</v>
      </c>
      <c r="J423" s="5">
        <v>44695</v>
      </c>
      <c r="K423" s="6">
        <v>0.83333333333333004</v>
      </c>
      <c r="L423" s="5">
        <v>44695</v>
      </c>
      <c r="M423" s="6">
        <v>0.85416666666666996</v>
      </c>
      <c r="N423" s="5">
        <v>44708</v>
      </c>
      <c r="Q423" s="12">
        <f t="shared" si="18"/>
        <v>44695.833333333336</v>
      </c>
      <c r="R423" s="12">
        <f t="shared" si="19"/>
        <v>44695.854166666664</v>
      </c>
      <c r="S423" s="13">
        <f t="shared" si="20"/>
        <v>2.0833333328482695E-2</v>
      </c>
    </row>
    <row r="424" spans="1:19" hidden="1" x14ac:dyDescent="0.2">
      <c r="A424" t="s">
        <v>1146</v>
      </c>
      <c r="B424" t="s">
        <v>1147</v>
      </c>
      <c r="C424" t="s">
        <v>3</v>
      </c>
      <c r="D424" s="11" t="s">
        <v>1266</v>
      </c>
      <c r="F424" s="5">
        <v>44709</v>
      </c>
      <c r="G424" t="s">
        <v>39</v>
      </c>
      <c r="H424" t="s">
        <v>5</v>
      </c>
      <c r="I424" s="5">
        <v>44708</v>
      </c>
      <c r="J424" s="5"/>
      <c r="K424" s="6">
        <v>0</v>
      </c>
      <c r="L424" s="5"/>
      <c r="M424" s="6">
        <v>0</v>
      </c>
      <c r="N424" s="5">
        <v>44709</v>
      </c>
      <c r="Q424" s="12">
        <f t="shared" si="18"/>
        <v>0</v>
      </c>
      <c r="R424" s="12">
        <f t="shared" si="19"/>
        <v>0</v>
      </c>
      <c r="S424" s="13">
        <f t="shared" si="20"/>
        <v>0</v>
      </c>
    </row>
    <row r="425" spans="1:19" hidden="1" x14ac:dyDescent="0.2">
      <c r="A425" t="s">
        <v>1148</v>
      </c>
      <c r="B425" t="s">
        <v>1149</v>
      </c>
      <c r="C425" t="s">
        <v>3</v>
      </c>
      <c r="F425" s="5">
        <v>44709</v>
      </c>
      <c r="G425" t="s">
        <v>563</v>
      </c>
      <c r="H425" t="s">
        <v>5</v>
      </c>
      <c r="I425" s="5">
        <v>44708</v>
      </c>
      <c r="J425" s="5">
        <v>44707</v>
      </c>
      <c r="K425" s="6">
        <v>0.70833333333333004</v>
      </c>
      <c r="L425" s="5">
        <v>44707</v>
      </c>
      <c r="M425" s="6">
        <v>0.72916666666666996</v>
      </c>
      <c r="N425" s="5">
        <v>44709</v>
      </c>
      <c r="Q425" s="12">
        <f t="shared" si="18"/>
        <v>44707.708333333336</v>
      </c>
      <c r="R425" s="12">
        <f t="shared" si="19"/>
        <v>44707.729166666664</v>
      </c>
      <c r="S425" s="13">
        <f t="shared" si="20"/>
        <v>2.0833333328482695E-2</v>
      </c>
    </row>
    <row r="426" spans="1:19" x14ac:dyDescent="0.2">
      <c r="A426" t="s">
        <v>1150</v>
      </c>
      <c r="B426" t="s">
        <v>1151</v>
      </c>
      <c r="C426" t="s">
        <v>3</v>
      </c>
      <c r="E426" s="11" t="s">
        <v>1268</v>
      </c>
      <c r="F426" s="5">
        <v>44709</v>
      </c>
      <c r="G426" t="s">
        <v>1152</v>
      </c>
      <c r="H426" t="s">
        <v>5</v>
      </c>
      <c r="I426" s="5">
        <v>44708</v>
      </c>
      <c r="J426" s="5">
        <v>44707</v>
      </c>
      <c r="K426" s="6">
        <v>0.6875</v>
      </c>
      <c r="L426" s="5">
        <v>44707</v>
      </c>
      <c r="M426" s="6">
        <v>0.70833333333333004</v>
      </c>
      <c r="N426" s="5">
        <v>44709</v>
      </c>
      <c r="Q426" s="12">
        <f t="shared" si="18"/>
        <v>44707.6875</v>
      </c>
      <c r="R426" s="12">
        <f t="shared" si="19"/>
        <v>44707.708333333336</v>
      </c>
      <c r="S426" s="13">
        <f t="shared" si="20"/>
        <v>2.0833333335758653E-2</v>
      </c>
    </row>
    <row r="427" spans="1:19" hidden="1" x14ac:dyDescent="0.2">
      <c r="A427" t="s">
        <v>1153</v>
      </c>
      <c r="B427" t="s">
        <v>1154</v>
      </c>
      <c r="C427" t="s">
        <v>3</v>
      </c>
      <c r="F427" s="5">
        <v>44714</v>
      </c>
      <c r="G427" t="s">
        <v>563</v>
      </c>
      <c r="H427" t="s">
        <v>5</v>
      </c>
      <c r="I427" s="5">
        <v>44713</v>
      </c>
      <c r="J427" s="5">
        <v>44711</v>
      </c>
      <c r="K427" s="6">
        <v>0.70138888888888995</v>
      </c>
      <c r="L427" s="5">
        <v>44711</v>
      </c>
      <c r="M427" s="6">
        <v>0.72916666666666996</v>
      </c>
      <c r="N427" s="5">
        <v>44714</v>
      </c>
      <c r="Q427" s="12">
        <f t="shared" si="18"/>
        <v>44711.701388888891</v>
      </c>
      <c r="R427" s="12">
        <f t="shared" si="19"/>
        <v>44711.729166666664</v>
      </c>
      <c r="S427" s="13">
        <f t="shared" si="20"/>
        <v>2.7777777773735579E-2</v>
      </c>
    </row>
    <row r="428" spans="1:19" hidden="1" x14ac:dyDescent="0.2">
      <c r="A428" t="s">
        <v>1155</v>
      </c>
      <c r="B428" t="s">
        <v>1156</v>
      </c>
      <c r="C428" t="s">
        <v>3</v>
      </c>
      <c r="F428" s="5">
        <v>44715</v>
      </c>
      <c r="G428" t="s">
        <v>1067</v>
      </c>
      <c r="H428" t="s">
        <v>5</v>
      </c>
      <c r="I428" s="5">
        <v>44713</v>
      </c>
      <c r="J428" s="5">
        <v>44711</v>
      </c>
      <c r="K428" s="6">
        <v>0.66666666666666996</v>
      </c>
      <c r="L428" s="5">
        <v>44711</v>
      </c>
      <c r="M428" s="6">
        <v>0.70833333333333004</v>
      </c>
      <c r="N428" s="5">
        <v>44715</v>
      </c>
      <c r="Q428" s="12">
        <f t="shared" si="18"/>
        <v>44711.666666666664</v>
      </c>
      <c r="R428" s="12">
        <f t="shared" si="19"/>
        <v>44711.708333333336</v>
      </c>
      <c r="S428" s="13">
        <f t="shared" si="20"/>
        <v>4.1666666671517305E-2</v>
      </c>
    </row>
    <row r="429" spans="1:19" hidden="1" x14ac:dyDescent="0.2">
      <c r="A429" t="s">
        <v>1157</v>
      </c>
      <c r="B429" t="s">
        <v>1158</v>
      </c>
      <c r="C429" t="s">
        <v>3</v>
      </c>
      <c r="F429" s="5">
        <v>44732</v>
      </c>
      <c r="G429" t="s">
        <v>555</v>
      </c>
      <c r="H429" t="s">
        <v>5</v>
      </c>
      <c r="I429" s="5">
        <v>44742</v>
      </c>
      <c r="J429" s="5">
        <v>44726</v>
      </c>
      <c r="K429" s="6">
        <v>0.1875</v>
      </c>
      <c r="L429" s="5">
        <v>44726</v>
      </c>
      <c r="M429" s="6">
        <v>0.22916666666666999</v>
      </c>
      <c r="N429" s="5">
        <v>44732</v>
      </c>
      <c r="Q429" s="12">
        <f t="shared" si="18"/>
        <v>44726.1875</v>
      </c>
      <c r="R429" s="12">
        <f t="shared" si="19"/>
        <v>44726.229166666664</v>
      </c>
      <c r="S429" s="13">
        <f t="shared" si="20"/>
        <v>4.1666666664241347E-2</v>
      </c>
    </row>
    <row r="430" spans="1:19" hidden="1" x14ac:dyDescent="0.2">
      <c r="A430" t="s">
        <v>1159</v>
      </c>
      <c r="B430" t="s">
        <v>1160</v>
      </c>
      <c r="C430" t="s">
        <v>3</v>
      </c>
      <c r="F430" s="5">
        <v>44732</v>
      </c>
      <c r="G430" t="s">
        <v>1161</v>
      </c>
      <c r="H430" t="s">
        <v>5</v>
      </c>
      <c r="I430" s="5">
        <v>44742</v>
      </c>
      <c r="J430" s="5">
        <v>44726</v>
      </c>
      <c r="K430" s="6">
        <v>0.33333333333332998</v>
      </c>
      <c r="L430" s="5">
        <v>44726</v>
      </c>
      <c r="M430" s="6">
        <v>0.375</v>
      </c>
      <c r="N430" s="5">
        <v>44732</v>
      </c>
      <c r="Q430" s="12">
        <f t="shared" si="18"/>
        <v>44726.333333333336</v>
      </c>
      <c r="R430" s="12">
        <f t="shared" si="19"/>
        <v>44726.375</v>
      </c>
      <c r="S430" s="13">
        <f t="shared" si="20"/>
        <v>4.1666666664241347E-2</v>
      </c>
    </row>
    <row r="431" spans="1:19" hidden="1" x14ac:dyDescent="0.2">
      <c r="A431" t="s">
        <v>1162</v>
      </c>
      <c r="B431" t="s">
        <v>1163</v>
      </c>
      <c r="C431" t="s">
        <v>3</v>
      </c>
      <c r="F431" s="5">
        <v>44733</v>
      </c>
      <c r="G431" t="s">
        <v>1164</v>
      </c>
      <c r="H431" t="s">
        <v>15</v>
      </c>
      <c r="I431" s="5">
        <v>44742</v>
      </c>
      <c r="J431" s="5">
        <v>44724</v>
      </c>
      <c r="K431" s="6">
        <v>0.41666666666667002</v>
      </c>
      <c r="L431" s="5">
        <v>44724</v>
      </c>
      <c r="M431" s="6">
        <v>0.45833333333332998</v>
      </c>
      <c r="N431" s="5">
        <v>44733</v>
      </c>
      <c r="Q431" s="12">
        <f t="shared" si="18"/>
        <v>44724.416666666664</v>
      </c>
      <c r="R431" s="12">
        <f t="shared" si="19"/>
        <v>44724.458333333336</v>
      </c>
      <c r="S431" s="13">
        <f t="shared" si="20"/>
        <v>4.1666666671517305E-2</v>
      </c>
    </row>
    <row r="432" spans="1:19" hidden="1" x14ac:dyDescent="0.2">
      <c r="A432" t="s">
        <v>1165</v>
      </c>
      <c r="B432" t="s">
        <v>1166</v>
      </c>
      <c r="C432" t="s">
        <v>3</v>
      </c>
      <c r="F432" s="5">
        <v>44733</v>
      </c>
      <c r="G432" t="s">
        <v>1164</v>
      </c>
      <c r="H432" t="s">
        <v>15</v>
      </c>
      <c r="I432" s="5">
        <v>44742</v>
      </c>
      <c r="J432" s="5">
        <v>44723</v>
      </c>
      <c r="K432" s="6">
        <v>0.27083333333332998</v>
      </c>
      <c r="L432" s="5">
        <v>44723</v>
      </c>
      <c r="M432" s="6">
        <v>0.3125</v>
      </c>
      <c r="N432" s="5">
        <v>44733</v>
      </c>
      <c r="Q432" s="12">
        <f t="shared" si="18"/>
        <v>44723.270833333336</v>
      </c>
      <c r="R432" s="12">
        <f t="shared" si="19"/>
        <v>44723.3125</v>
      </c>
      <c r="S432" s="13">
        <f t="shared" si="20"/>
        <v>4.1666666664241347E-2</v>
      </c>
    </row>
    <row r="433" spans="1:19" hidden="1" x14ac:dyDescent="0.2">
      <c r="A433" t="s">
        <v>1167</v>
      </c>
      <c r="B433" t="s">
        <v>1168</v>
      </c>
      <c r="C433" t="s">
        <v>3</v>
      </c>
      <c r="F433" s="5">
        <v>44733</v>
      </c>
      <c r="G433" t="s">
        <v>1169</v>
      </c>
      <c r="H433" t="s">
        <v>5</v>
      </c>
      <c r="I433" s="5">
        <v>44742</v>
      </c>
      <c r="J433" s="5">
        <v>44723</v>
      </c>
      <c r="K433" s="6">
        <v>0.29166666666667002</v>
      </c>
      <c r="L433" s="5">
        <v>44723</v>
      </c>
      <c r="M433" s="6">
        <v>0.33333333333332998</v>
      </c>
      <c r="N433" s="5">
        <v>44733</v>
      </c>
      <c r="Q433" s="12">
        <f t="shared" si="18"/>
        <v>44723.291666666664</v>
      </c>
      <c r="R433" s="12">
        <f t="shared" si="19"/>
        <v>44723.333333333336</v>
      </c>
      <c r="S433" s="13">
        <f t="shared" si="20"/>
        <v>4.1666666671517305E-2</v>
      </c>
    </row>
    <row r="434" spans="1:19" hidden="1" x14ac:dyDescent="0.2">
      <c r="A434" t="s">
        <v>1170</v>
      </c>
      <c r="B434" t="s">
        <v>1171</v>
      </c>
      <c r="C434" t="s">
        <v>3</v>
      </c>
      <c r="F434" s="5">
        <v>44733</v>
      </c>
      <c r="G434" t="s">
        <v>1164</v>
      </c>
      <c r="H434" t="s">
        <v>15</v>
      </c>
      <c r="I434" s="5">
        <v>44742</v>
      </c>
      <c r="J434" s="5">
        <v>44723</v>
      </c>
      <c r="K434" s="6">
        <v>4.1666666666670002E-2</v>
      </c>
      <c r="L434" s="5">
        <v>44723</v>
      </c>
      <c r="M434" s="6">
        <v>8.3333333333329998E-2</v>
      </c>
      <c r="N434" s="5">
        <v>44733</v>
      </c>
      <c r="Q434" s="12">
        <f t="shared" si="18"/>
        <v>44723.041666666664</v>
      </c>
      <c r="R434" s="12">
        <f t="shared" si="19"/>
        <v>44723.083333333336</v>
      </c>
      <c r="S434" s="13">
        <f t="shared" si="20"/>
        <v>4.1666666671517305E-2</v>
      </c>
    </row>
    <row r="435" spans="1:19" hidden="1" x14ac:dyDescent="0.2">
      <c r="A435" t="s">
        <v>1172</v>
      </c>
      <c r="B435" t="s">
        <v>1173</v>
      </c>
      <c r="C435" t="s">
        <v>3</v>
      </c>
      <c r="F435" s="5">
        <v>44733</v>
      </c>
      <c r="G435" t="s">
        <v>1174</v>
      </c>
      <c r="H435" t="s">
        <v>5</v>
      </c>
      <c r="I435" s="5">
        <v>44742</v>
      </c>
      <c r="J435" s="5">
        <v>44722</v>
      </c>
      <c r="K435" s="6">
        <v>0.875</v>
      </c>
      <c r="L435" s="5">
        <v>44722</v>
      </c>
      <c r="M435" s="6">
        <v>0.9375</v>
      </c>
      <c r="N435" s="5">
        <v>44733</v>
      </c>
      <c r="Q435" s="12">
        <f t="shared" si="18"/>
        <v>44722.875</v>
      </c>
      <c r="R435" s="12">
        <f t="shared" si="19"/>
        <v>44722.9375</v>
      </c>
      <c r="S435" s="13">
        <f t="shared" si="20"/>
        <v>6.25E-2</v>
      </c>
    </row>
    <row r="436" spans="1:19" hidden="1" x14ac:dyDescent="0.2">
      <c r="A436" t="s">
        <v>1175</v>
      </c>
      <c r="B436" t="s">
        <v>1176</v>
      </c>
      <c r="C436" t="s">
        <v>3</v>
      </c>
      <c r="D436" s="11" t="s">
        <v>1266</v>
      </c>
      <c r="F436" s="5">
        <v>44733</v>
      </c>
      <c r="G436" t="s">
        <v>39</v>
      </c>
      <c r="H436" t="s">
        <v>5</v>
      </c>
      <c r="I436" s="5">
        <v>44742</v>
      </c>
      <c r="J436" s="5">
        <v>44722</v>
      </c>
      <c r="K436" s="6">
        <v>0.125</v>
      </c>
      <c r="L436" s="5">
        <v>44722</v>
      </c>
      <c r="M436" s="6">
        <v>0.25</v>
      </c>
      <c r="N436" s="5">
        <v>44733</v>
      </c>
      <c r="Q436" s="12">
        <f t="shared" si="18"/>
        <v>44722.125</v>
      </c>
      <c r="R436" s="12">
        <f t="shared" si="19"/>
        <v>44722.25</v>
      </c>
      <c r="S436" s="13">
        <f t="shared" si="20"/>
        <v>0.125</v>
      </c>
    </row>
    <row r="437" spans="1:19" x14ac:dyDescent="0.2">
      <c r="A437" t="s">
        <v>1177</v>
      </c>
      <c r="B437" t="s">
        <v>1178</v>
      </c>
      <c r="C437" t="s">
        <v>3</v>
      </c>
      <c r="E437" s="11" t="s">
        <v>1268</v>
      </c>
      <c r="F437" s="5">
        <v>44733</v>
      </c>
      <c r="G437" t="s">
        <v>985</v>
      </c>
      <c r="H437" t="s">
        <v>5</v>
      </c>
      <c r="I437" s="5">
        <v>44742</v>
      </c>
      <c r="J437" s="5">
        <v>44720</v>
      </c>
      <c r="K437" s="6">
        <v>0.45833333333332998</v>
      </c>
      <c r="L437" s="5">
        <v>44720</v>
      </c>
      <c r="M437" s="6">
        <v>0.48611111111110999</v>
      </c>
      <c r="N437" s="5">
        <v>44733</v>
      </c>
      <c r="Q437" s="12">
        <f t="shared" si="18"/>
        <v>44720.458333333336</v>
      </c>
      <c r="R437" s="12">
        <f t="shared" si="19"/>
        <v>44720.486111111109</v>
      </c>
      <c r="S437" s="13">
        <f t="shared" si="20"/>
        <v>2.7777777773735579E-2</v>
      </c>
    </row>
    <row r="438" spans="1:19" x14ac:dyDescent="0.2">
      <c r="A438" t="s">
        <v>1179</v>
      </c>
      <c r="B438" t="s">
        <v>1180</v>
      </c>
      <c r="C438" t="s">
        <v>3</v>
      </c>
      <c r="E438" s="11" t="s">
        <v>1268</v>
      </c>
      <c r="F438" s="5">
        <v>44733</v>
      </c>
      <c r="G438" t="s">
        <v>1181</v>
      </c>
      <c r="H438" t="s">
        <v>5</v>
      </c>
      <c r="I438" s="5">
        <v>44742</v>
      </c>
      <c r="J438" s="5">
        <v>44716</v>
      </c>
      <c r="K438" s="6">
        <v>4.1666666666670002E-2</v>
      </c>
      <c r="L438" s="5">
        <v>44716</v>
      </c>
      <c r="M438" s="6">
        <v>6.9444444444440007E-2</v>
      </c>
      <c r="N438" s="5">
        <v>44733</v>
      </c>
      <c r="Q438" s="12">
        <f t="shared" si="18"/>
        <v>44716.041666666664</v>
      </c>
      <c r="R438" s="12">
        <f t="shared" si="19"/>
        <v>44716.069444444445</v>
      </c>
      <c r="S438" s="13">
        <f t="shared" si="20"/>
        <v>2.7777777781011537E-2</v>
      </c>
    </row>
    <row r="439" spans="1:19" hidden="1" x14ac:dyDescent="0.2">
      <c r="A439" t="s">
        <v>1182</v>
      </c>
      <c r="B439" t="s">
        <v>1183</v>
      </c>
      <c r="C439" t="s">
        <v>3</v>
      </c>
      <c r="F439" s="5">
        <v>44733</v>
      </c>
      <c r="G439" t="s">
        <v>1164</v>
      </c>
      <c r="H439" t="s">
        <v>15</v>
      </c>
      <c r="I439" s="5">
        <v>44742</v>
      </c>
      <c r="J439" s="5">
        <v>44715</v>
      </c>
      <c r="K439" s="6">
        <v>0.5</v>
      </c>
      <c r="L439" s="5">
        <v>44715</v>
      </c>
      <c r="M439" s="6">
        <v>0.54166666666666996</v>
      </c>
      <c r="N439" s="5">
        <v>44733</v>
      </c>
      <c r="Q439" s="12">
        <f t="shared" si="18"/>
        <v>44715.5</v>
      </c>
      <c r="R439" s="12">
        <f t="shared" si="19"/>
        <v>44715.541666666664</v>
      </c>
      <c r="S439" s="13">
        <f t="shared" si="20"/>
        <v>4.1666666664241347E-2</v>
      </c>
    </row>
    <row r="440" spans="1:19" x14ac:dyDescent="0.2">
      <c r="A440" t="s">
        <v>1184</v>
      </c>
      <c r="B440" t="s">
        <v>1185</v>
      </c>
      <c r="C440" t="s">
        <v>3</v>
      </c>
      <c r="E440" s="11" t="s">
        <v>1268</v>
      </c>
      <c r="F440" s="5">
        <v>44744</v>
      </c>
      <c r="G440" t="s">
        <v>985</v>
      </c>
      <c r="H440" t="s">
        <v>5</v>
      </c>
      <c r="I440" s="5">
        <v>44743</v>
      </c>
      <c r="J440" s="5">
        <v>44740</v>
      </c>
      <c r="K440" s="6">
        <v>0.375</v>
      </c>
      <c r="L440" s="5">
        <v>44740</v>
      </c>
      <c r="M440" s="6">
        <v>0.39583333333332998</v>
      </c>
      <c r="N440" s="5">
        <v>44744</v>
      </c>
      <c r="Q440" s="12">
        <f t="shared" si="18"/>
        <v>44740.375</v>
      </c>
      <c r="R440" s="12">
        <f t="shared" si="19"/>
        <v>44740.395833333336</v>
      </c>
      <c r="S440" s="13">
        <f t="shared" si="20"/>
        <v>2.0833333335758653E-2</v>
      </c>
    </row>
    <row r="441" spans="1:19" hidden="1" x14ac:dyDescent="0.2">
      <c r="A441" t="s">
        <v>1186</v>
      </c>
      <c r="B441" t="s">
        <v>1187</v>
      </c>
      <c r="C441" t="s">
        <v>3</v>
      </c>
      <c r="F441" s="5">
        <v>44746</v>
      </c>
      <c r="G441" t="s">
        <v>1188</v>
      </c>
      <c r="H441" t="s">
        <v>5</v>
      </c>
      <c r="I441" s="5">
        <v>44742</v>
      </c>
      <c r="J441" s="5">
        <v>44742</v>
      </c>
      <c r="K441" s="6">
        <v>0.29166666666667002</v>
      </c>
      <c r="L441" s="5">
        <v>44742</v>
      </c>
      <c r="M441" s="6">
        <v>0.375</v>
      </c>
      <c r="N441" s="5">
        <v>44746</v>
      </c>
      <c r="Q441" s="12">
        <f t="shared" si="18"/>
        <v>44742.291666666664</v>
      </c>
      <c r="R441" s="12">
        <f t="shared" si="19"/>
        <v>44742.375</v>
      </c>
      <c r="S441" s="13">
        <f t="shared" si="20"/>
        <v>8.3333333335758653E-2</v>
      </c>
    </row>
    <row r="442" spans="1:19" hidden="1" x14ac:dyDescent="0.2">
      <c r="A442" t="s">
        <v>1189</v>
      </c>
      <c r="B442" t="s">
        <v>1190</v>
      </c>
      <c r="C442" t="s">
        <v>3</v>
      </c>
      <c r="F442" s="5">
        <v>44746</v>
      </c>
      <c r="G442" t="s">
        <v>1191</v>
      </c>
      <c r="H442" t="s">
        <v>5</v>
      </c>
      <c r="I442" s="5">
        <v>44740</v>
      </c>
      <c r="J442" s="5">
        <v>44740</v>
      </c>
      <c r="K442" s="6">
        <v>0.625</v>
      </c>
      <c r="L442" s="5">
        <v>44740</v>
      </c>
      <c r="M442" s="6">
        <v>0.70833333333333004</v>
      </c>
      <c r="N442" s="5">
        <v>44746</v>
      </c>
      <c r="Q442" s="12">
        <f t="shared" si="18"/>
        <v>44740.625</v>
      </c>
      <c r="R442" s="12">
        <f t="shared" si="19"/>
        <v>44740.708333333336</v>
      </c>
      <c r="S442" s="13">
        <f t="shared" si="20"/>
        <v>8.3333333335758653E-2</v>
      </c>
    </row>
    <row r="443" spans="1:19" x14ac:dyDescent="0.2">
      <c r="A443" t="s">
        <v>1192</v>
      </c>
      <c r="B443" t="s">
        <v>1193</v>
      </c>
      <c r="C443" t="s">
        <v>3</v>
      </c>
      <c r="E443" s="11" t="s">
        <v>1268</v>
      </c>
      <c r="F443" s="5">
        <v>44746</v>
      </c>
      <c r="G443" t="s">
        <v>985</v>
      </c>
      <c r="H443" t="s">
        <v>5</v>
      </c>
      <c r="I443" s="5">
        <v>44740</v>
      </c>
      <c r="J443" s="5">
        <v>44739</v>
      </c>
      <c r="K443" s="6">
        <v>0.70833333333333004</v>
      </c>
      <c r="L443" s="5">
        <v>44739</v>
      </c>
      <c r="M443" s="6">
        <v>0.72916666666666996</v>
      </c>
      <c r="N443" s="5">
        <v>44746</v>
      </c>
      <c r="Q443" s="12">
        <f t="shared" si="18"/>
        <v>44739.708333333336</v>
      </c>
      <c r="R443" s="12">
        <f t="shared" si="19"/>
        <v>44739.729166666664</v>
      </c>
      <c r="S443" s="13">
        <f t="shared" si="20"/>
        <v>2.0833333328482695E-2</v>
      </c>
    </row>
    <row r="444" spans="1:19" x14ac:dyDescent="0.2">
      <c r="A444" t="s">
        <v>1194</v>
      </c>
      <c r="B444" t="s">
        <v>1195</v>
      </c>
      <c r="C444" t="s">
        <v>3</v>
      </c>
      <c r="E444" s="11" t="s">
        <v>1268</v>
      </c>
      <c r="F444" s="5">
        <v>44746</v>
      </c>
      <c r="G444" t="s">
        <v>985</v>
      </c>
      <c r="H444" t="s">
        <v>5</v>
      </c>
      <c r="I444" s="5">
        <v>44745</v>
      </c>
      <c r="J444" s="5">
        <v>44737</v>
      </c>
      <c r="K444" s="6">
        <v>0.66666666666666996</v>
      </c>
      <c r="L444" s="5">
        <v>44737</v>
      </c>
      <c r="M444" s="6">
        <v>0.6875</v>
      </c>
      <c r="N444" s="5">
        <v>44746</v>
      </c>
      <c r="Q444" s="12">
        <f t="shared" si="18"/>
        <v>44737.666666666664</v>
      </c>
      <c r="R444" s="12">
        <f t="shared" si="19"/>
        <v>44737.6875</v>
      </c>
      <c r="S444" s="13">
        <f t="shared" si="20"/>
        <v>2.0833333335758653E-2</v>
      </c>
    </row>
    <row r="445" spans="1:19" x14ac:dyDescent="0.2">
      <c r="A445" t="s">
        <v>1196</v>
      </c>
      <c r="B445" t="s">
        <v>1197</v>
      </c>
      <c r="C445" t="s">
        <v>3</v>
      </c>
      <c r="E445" s="11" t="s">
        <v>1268</v>
      </c>
      <c r="F445" s="5">
        <v>44746</v>
      </c>
      <c r="G445" t="s">
        <v>611</v>
      </c>
      <c r="H445" t="s">
        <v>5</v>
      </c>
      <c r="I445" s="5">
        <v>44745</v>
      </c>
      <c r="J445" s="5">
        <v>44735</v>
      </c>
      <c r="K445" s="6">
        <v>0.45833333333332998</v>
      </c>
      <c r="L445" s="5">
        <v>44735</v>
      </c>
      <c r="M445" s="6">
        <v>0.48611111111110999</v>
      </c>
      <c r="N445" s="5">
        <v>44746</v>
      </c>
      <c r="Q445" s="12">
        <f t="shared" si="18"/>
        <v>44735.458333333336</v>
      </c>
      <c r="R445" s="12">
        <f t="shared" si="19"/>
        <v>44735.486111111109</v>
      </c>
      <c r="S445" s="13">
        <f t="shared" si="20"/>
        <v>2.7777777773735579E-2</v>
      </c>
    </row>
    <row r="446" spans="1:19" x14ac:dyDescent="0.2">
      <c r="A446" t="s">
        <v>1198</v>
      </c>
      <c r="B446" t="s">
        <v>1199</v>
      </c>
      <c r="C446" t="s">
        <v>3</v>
      </c>
      <c r="E446" s="11" t="s">
        <v>1268</v>
      </c>
      <c r="F446" s="5">
        <v>44746</v>
      </c>
      <c r="G446" t="s">
        <v>1200</v>
      </c>
      <c r="H446" t="s">
        <v>5</v>
      </c>
      <c r="I446" s="5">
        <v>44745</v>
      </c>
      <c r="J446" s="5">
        <v>44734</v>
      </c>
      <c r="K446" s="6">
        <v>4.1666666666670002E-2</v>
      </c>
      <c r="L446" s="5">
        <v>44734</v>
      </c>
      <c r="M446" s="6">
        <v>6.25E-2</v>
      </c>
      <c r="N446" s="5">
        <v>44746</v>
      </c>
      <c r="Q446" s="12">
        <f t="shared" si="18"/>
        <v>44734.041666666664</v>
      </c>
      <c r="R446" s="12">
        <f t="shared" si="19"/>
        <v>44734.0625</v>
      </c>
      <c r="S446" s="13">
        <f t="shared" si="20"/>
        <v>2.0833333335758653E-2</v>
      </c>
    </row>
    <row r="447" spans="1:19" hidden="1" x14ac:dyDescent="0.2">
      <c r="A447" t="s">
        <v>1201</v>
      </c>
      <c r="B447" t="s">
        <v>1202</v>
      </c>
      <c r="C447" t="s">
        <v>3</v>
      </c>
      <c r="F447" s="5">
        <v>44746</v>
      </c>
      <c r="G447" t="s">
        <v>1203</v>
      </c>
      <c r="H447" t="s">
        <v>15</v>
      </c>
      <c r="I447" s="5">
        <v>44740</v>
      </c>
      <c r="J447" s="5">
        <v>44740</v>
      </c>
      <c r="K447" s="7">
        <v>1</v>
      </c>
      <c r="L447" s="5">
        <v>44746</v>
      </c>
      <c r="M447" s="6">
        <v>0.74239583333333004</v>
      </c>
      <c r="N447" s="5">
        <v>44746</v>
      </c>
      <c r="Q447" s="12">
        <f t="shared" si="18"/>
        <v>44741</v>
      </c>
      <c r="R447" s="12">
        <f t="shared" si="19"/>
        <v>44746.742395833331</v>
      </c>
      <c r="S447" s="13">
        <f t="shared" si="20"/>
        <v>5.742395833331102</v>
      </c>
    </row>
    <row r="448" spans="1:19" hidden="1" x14ac:dyDescent="0.2">
      <c r="A448" t="s">
        <v>1204</v>
      </c>
      <c r="B448" t="s">
        <v>1205</v>
      </c>
      <c r="C448" t="s">
        <v>3</v>
      </c>
      <c r="F448" s="5">
        <v>44747</v>
      </c>
      <c r="G448" t="s">
        <v>1206</v>
      </c>
      <c r="H448" t="s">
        <v>15</v>
      </c>
      <c r="I448" s="5">
        <v>44746</v>
      </c>
      <c r="J448" s="5">
        <v>44739</v>
      </c>
      <c r="K448" s="6">
        <v>0.29166666666667002</v>
      </c>
      <c r="L448" s="5">
        <v>44739</v>
      </c>
      <c r="M448" s="6">
        <v>0.41666666666667002</v>
      </c>
      <c r="N448" s="5">
        <v>44747</v>
      </c>
      <c r="Q448" s="12">
        <f t="shared" si="18"/>
        <v>44739.291666666664</v>
      </c>
      <c r="R448" s="12">
        <f t="shared" si="19"/>
        <v>44739.416666666664</v>
      </c>
      <c r="S448" s="13">
        <f t="shared" si="20"/>
        <v>0.125</v>
      </c>
    </row>
    <row r="449" spans="1:19" x14ac:dyDescent="0.2">
      <c r="A449" t="s">
        <v>1207</v>
      </c>
      <c r="B449" t="s">
        <v>1208</v>
      </c>
      <c r="C449" t="s">
        <v>3</v>
      </c>
      <c r="E449" s="11" t="s">
        <v>1268</v>
      </c>
      <c r="F449" s="5">
        <v>44759</v>
      </c>
      <c r="G449" t="s">
        <v>985</v>
      </c>
      <c r="H449" t="s">
        <v>5</v>
      </c>
      <c r="I449" s="5">
        <v>44753</v>
      </c>
      <c r="J449" s="5">
        <v>44743</v>
      </c>
      <c r="K449" s="6">
        <v>0.60416666666666996</v>
      </c>
      <c r="L449" s="5">
        <v>44743</v>
      </c>
      <c r="M449" s="6">
        <v>0.63194444444443998</v>
      </c>
      <c r="N449" s="5">
        <v>44759</v>
      </c>
      <c r="Q449" s="12">
        <f t="shared" si="18"/>
        <v>44743.604166666664</v>
      </c>
      <c r="R449" s="12">
        <f t="shared" si="19"/>
        <v>44743.631944444445</v>
      </c>
      <c r="S449" s="13">
        <f t="shared" si="20"/>
        <v>2.7777777781011537E-2</v>
      </c>
    </row>
    <row r="450" spans="1:19" hidden="1" x14ac:dyDescent="0.2">
      <c r="A450" t="s">
        <v>1209</v>
      </c>
      <c r="B450" t="s">
        <v>1210</v>
      </c>
      <c r="C450" t="s">
        <v>3</v>
      </c>
      <c r="F450" s="5">
        <v>44759</v>
      </c>
      <c r="G450" t="s">
        <v>1211</v>
      </c>
      <c r="H450" t="s">
        <v>5</v>
      </c>
      <c r="I450" s="5">
        <v>44753</v>
      </c>
      <c r="J450" s="5">
        <v>44743</v>
      </c>
      <c r="K450" s="6">
        <v>0.45833333333332998</v>
      </c>
      <c r="L450" s="5">
        <v>44743</v>
      </c>
      <c r="M450" s="6">
        <v>0.5</v>
      </c>
      <c r="N450" s="5">
        <v>44759</v>
      </c>
      <c r="Q450" s="12">
        <f t="shared" si="18"/>
        <v>44743.458333333336</v>
      </c>
      <c r="R450" s="12">
        <f t="shared" si="19"/>
        <v>44743.5</v>
      </c>
      <c r="S450" s="13">
        <f t="shared" si="20"/>
        <v>4.1666666664241347E-2</v>
      </c>
    </row>
    <row r="451" spans="1:19" hidden="1" x14ac:dyDescent="0.2">
      <c r="A451" t="s">
        <v>1212</v>
      </c>
      <c r="B451" t="s">
        <v>1213</v>
      </c>
      <c r="C451" t="s">
        <v>3</v>
      </c>
      <c r="D451" s="11" t="s">
        <v>1266</v>
      </c>
      <c r="F451" s="5">
        <v>44771</v>
      </c>
      <c r="G451" t="s">
        <v>39</v>
      </c>
      <c r="H451" t="s">
        <v>5</v>
      </c>
      <c r="I451" s="5">
        <v>44769</v>
      </c>
      <c r="J451" s="5">
        <v>44755</v>
      </c>
      <c r="K451" s="6">
        <v>4.1666666666670002E-2</v>
      </c>
      <c r="L451" s="5">
        <v>44755</v>
      </c>
      <c r="M451" s="6">
        <v>0.125</v>
      </c>
      <c r="N451" s="5">
        <v>44771</v>
      </c>
      <c r="Q451" s="12">
        <f t="shared" si="18"/>
        <v>44755.041666666664</v>
      </c>
      <c r="R451" s="12">
        <f t="shared" si="19"/>
        <v>44755.125</v>
      </c>
      <c r="S451" s="13">
        <f t="shared" si="20"/>
        <v>8.3333333335758653E-2</v>
      </c>
    </row>
    <row r="452" spans="1:19" hidden="1" x14ac:dyDescent="0.2">
      <c r="A452" t="s">
        <v>1214</v>
      </c>
      <c r="B452" t="s">
        <v>1215</v>
      </c>
      <c r="C452" t="s">
        <v>3</v>
      </c>
      <c r="F452" s="5">
        <v>44774</v>
      </c>
      <c r="G452" t="s">
        <v>1216</v>
      </c>
      <c r="H452" t="s">
        <v>5</v>
      </c>
      <c r="I452" s="5">
        <v>44773</v>
      </c>
      <c r="J452" s="5">
        <v>44745</v>
      </c>
      <c r="K452" s="6">
        <v>0.125</v>
      </c>
      <c r="L452" s="5">
        <v>44745</v>
      </c>
      <c r="M452" s="6">
        <v>0.16666666666666999</v>
      </c>
      <c r="N452" s="5">
        <v>44774</v>
      </c>
      <c r="Q452" s="12">
        <f t="shared" ref="Q452:Q465" si="21">J452+K452</f>
        <v>44745.125</v>
      </c>
      <c r="R452" s="12">
        <f t="shared" ref="R452:R465" si="22">L452+M452</f>
        <v>44745.166666666664</v>
      </c>
      <c r="S452" s="13">
        <f t="shared" ref="S452:S465" si="23">R452-Q452</f>
        <v>4.1666666664241347E-2</v>
      </c>
    </row>
    <row r="453" spans="1:19" x14ac:dyDescent="0.2">
      <c r="A453" t="s">
        <v>1217</v>
      </c>
      <c r="B453" t="s">
        <v>1218</v>
      </c>
      <c r="C453" t="s">
        <v>3</v>
      </c>
      <c r="E453" s="11" t="s">
        <v>1268</v>
      </c>
      <c r="F453" s="5">
        <v>44776</v>
      </c>
      <c r="G453" t="s">
        <v>1219</v>
      </c>
      <c r="H453" t="s">
        <v>5</v>
      </c>
      <c r="I453" s="5">
        <v>44775</v>
      </c>
      <c r="J453" s="5">
        <v>44756</v>
      </c>
      <c r="K453" s="6">
        <v>0.64583333333333004</v>
      </c>
      <c r="L453" s="5">
        <v>44756</v>
      </c>
      <c r="M453" s="6">
        <v>0.66666666666666996</v>
      </c>
      <c r="N453" s="5">
        <v>44776</v>
      </c>
      <c r="Q453" s="12">
        <f t="shared" si="21"/>
        <v>44756.645833333336</v>
      </c>
      <c r="R453" s="12">
        <f t="shared" si="22"/>
        <v>44756.666666666664</v>
      </c>
      <c r="S453" s="13">
        <f t="shared" si="23"/>
        <v>2.0833333328482695E-2</v>
      </c>
    </row>
    <row r="454" spans="1:19" x14ac:dyDescent="0.2">
      <c r="A454" t="s">
        <v>1220</v>
      </c>
      <c r="B454" t="s">
        <v>1221</v>
      </c>
      <c r="C454" t="s">
        <v>3</v>
      </c>
      <c r="E454" s="11" t="s">
        <v>1268</v>
      </c>
      <c r="F454" s="5">
        <v>44800</v>
      </c>
      <c r="G454" t="s">
        <v>1222</v>
      </c>
      <c r="H454" t="s">
        <v>5</v>
      </c>
      <c r="I454" s="5">
        <v>44799</v>
      </c>
      <c r="J454" s="5"/>
      <c r="K454" s="6">
        <v>0</v>
      </c>
      <c r="L454" s="5"/>
      <c r="M454" s="6">
        <v>0</v>
      </c>
      <c r="N454" s="5">
        <v>44801</v>
      </c>
      <c r="Q454" s="12">
        <f t="shared" si="21"/>
        <v>0</v>
      </c>
      <c r="R454" s="12">
        <f t="shared" si="22"/>
        <v>0</v>
      </c>
      <c r="S454" s="13">
        <f t="shared" si="23"/>
        <v>0</v>
      </c>
    </row>
    <row r="455" spans="1:19" x14ac:dyDescent="0.2">
      <c r="A455" t="s">
        <v>1223</v>
      </c>
      <c r="B455" t="s">
        <v>1224</v>
      </c>
      <c r="C455" t="s">
        <v>3</v>
      </c>
      <c r="E455" s="11" t="s">
        <v>1268</v>
      </c>
      <c r="F455" s="5">
        <v>44802</v>
      </c>
      <c r="G455" t="s">
        <v>1225</v>
      </c>
      <c r="H455" t="s">
        <v>5</v>
      </c>
      <c r="I455" s="5">
        <v>44799</v>
      </c>
      <c r="J455" s="5">
        <v>44799</v>
      </c>
      <c r="K455" s="6">
        <v>0.58333333333333004</v>
      </c>
      <c r="L455" s="5">
        <v>44799</v>
      </c>
      <c r="M455" s="6">
        <v>0.60069444444443998</v>
      </c>
      <c r="N455" s="5">
        <v>44802</v>
      </c>
      <c r="Q455" s="12">
        <f t="shared" si="21"/>
        <v>44799.583333333336</v>
      </c>
      <c r="R455" s="12">
        <f t="shared" si="22"/>
        <v>44799.600694444445</v>
      </c>
      <c r="S455" s="13">
        <f t="shared" si="23"/>
        <v>1.7361111109494232E-2</v>
      </c>
    </row>
    <row r="456" spans="1:19" hidden="1" x14ac:dyDescent="0.2">
      <c r="A456" t="s">
        <v>1226</v>
      </c>
      <c r="B456" t="s">
        <v>1227</v>
      </c>
      <c r="C456" t="s">
        <v>3</v>
      </c>
      <c r="F456" s="5">
        <v>44804</v>
      </c>
      <c r="G456" t="s">
        <v>1164</v>
      </c>
      <c r="H456" t="s">
        <v>15</v>
      </c>
      <c r="I456" s="5">
        <v>44804</v>
      </c>
      <c r="J456" s="5"/>
      <c r="K456" s="6">
        <v>0</v>
      </c>
      <c r="L456" s="5"/>
      <c r="M456" s="6">
        <v>0</v>
      </c>
      <c r="N456" s="5">
        <v>44804</v>
      </c>
      <c r="Q456" s="12">
        <f t="shared" si="21"/>
        <v>0</v>
      </c>
      <c r="R456" s="12">
        <f t="shared" si="22"/>
        <v>0</v>
      </c>
      <c r="S456" s="13">
        <f t="shared" si="23"/>
        <v>0</v>
      </c>
    </row>
    <row r="457" spans="1:19" x14ac:dyDescent="0.2">
      <c r="A457" t="s">
        <v>1228</v>
      </c>
      <c r="B457" t="s">
        <v>1229</v>
      </c>
      <c r="C457" t="s">
        <v>3</v>
      </c>
      <c r="E457" s="11" t="s">
        <v>1268</v>
      </c>
      <c r="F457" s="5">
        <v>44805</v>
      </c>
      <c r="G457" t="s">
        <v>1230</v>
      </c>
      <c r="H457" t="s">
        <v>5</v>
      </c>
      <c r="I457" s="5">
        <v>44804</v>
      </c>
      <c r="J457" s="5">
        <v>44788</v>
      </c>
      <c r="K457" s="6">
        <v>0.5</v>
      </c>
      <c r="L457" s="5">
        <v>44788</v>
      </c>
      <c r="M457" s="6">
        <v>0.52083333333333004</v>
      </c>
      <c r="N457" s="5">
        <v>44805</v>
      </c>
      <c r="Q457" s="12">
        <f t="shared" si="21"/>
        <v>44788.5</v>
      </c>
      <c r="R457" s="12">
        <f t="shared" si="22"/>
        <v>44788.520833333336</v>
      </c>
      <c r="S457" s="13">
        <f t="shared" si="23"/>
        <v>2.0833333335758653E-2</v>
      </c>
    </row>
    <row r="458" spans="1:19" hidden="1" x14ac:dyDescent="0.2">
      <c r="A458" t="s">
        <v>1231</v>
      </c>
      <c r="B458" t="s">
        <v>1232</v>
      </c>
      <c r="C458" t="s">
        <v>3</v>
      </c>
      <c r="F458" s="5">
        <v>44808</v>
      </c>
      <c r="G458" t="s">
        <v>1233</v>
      </c>
      <c r="H458" t="s">
        <v>5</v>
      </c>
      <c r="I458" s="5">
        <v>44807</v>
      </c>
      <c r="J458" s="5">
        <v>44784</v>
      </c>
      <c r="K458" s="6">
        <v>0.29166666666667002</v>
      </c>
      <c r="L458" s="5">
        <v>44784</v>
      </c>
      <c r="M458" s="6">
        <v>0.41666666666667002</v>
      </c>
      <c r="N458" s="5">
        <v>44808</v>
      </c>
      <c r="Q458" s="12">
        <f t="shared" si="21"/>
        <v>44784.291666666664</v>
      </c>
      <c r="R458" s="12">
        <f t="shared" si="22"/>
        <v>44784.416666666664</v>
      </c>
      <c r="S458" s="13">
        <f t="shared" si="23"/>
        <v>0.125</v>
      </c>
    </row>
    <row r="459" spans="1:19" hidden="1" x14ac:dyDescent="0.2">
      <c r="A459" t="s">
        <v>1234</v>
      </c>
      <c r="B459" t="s">
        <v>1235</v>
      </c>
      <c r="C459" t="s">
        <v>3</v>
      </c>
      <c r="F459" s="5">
        <v>44824</v>
      </c>
      <c r="G459" t="s">
        <v>1236</v>
      </c>
      <c r="H459" t="s">
        <v>15</v>
      </c>
      <c r="I459" s="5">
        <v>44821</v>
      </c>
      <c r="J459" s="5">
        <v>44821</v>
      </c>
      <c r="K459" s="6">
        <v>0.39583333333332998</v>
      </c>
      <c r="L459" s="5">
        <v>44821</v>
      </c>
      <c r="M459" s="6">
        <v>0.4375</v>
      </c>
      <c r="N459" s="5">
        <v>44824</v>
      </c>
      <c r="Q459" s="12">
        <f t="shared" si="21"/>
        <v>44821.395833333336</v>
      </c>
      <c r="R459" s="12">
        <f t="shared" si="22"/>
        <v>44821.4375</v>
      </c>
      <c r="S459" s="13">
        <f t="shared" si="23"/>
        <v>4.1666666664241347E-2</v>
      </c>
    </row>
    <row r="460" spans="1:19" x14ac:dyDescent="0.2">
      <c r="A460" t="s">
        <v>1237</v>
      </c>
      <c r="B460" t="s">
        <v>1238</v>
      </c>
      <c r="C460" t="s">
        <v>3</v>
      </c>
      <c r="E460" s="11" t="s">
        <v>1268</v>
      </c>
      <c r="F460" s="5">
        <v>44832</v>
      </c>
      <c r="G460" t="s">
        <v>1239</v>
      </c>
      <c r="H460" t="s">
        <v>5</v>
      </c>
      <c r="I460" s="5">
        <v>44831</v>
      </c>
      <c r="J460" s="5">
        <v>44808</v>
      </c>
      <c r="K460" s="6">
        <v>6.9444444444440007E-2</v>
      </c>
      <c r="L460" s="5">
        <v>44808</v>
      </c>
      <c r="M460" s="6">
        <v>9.7222222222220003E-2</v>
      </c>
      <c r="N460" s="5">
        <v>44832</v>
      </c>
      <c r="Q460" s="12">
        <f t="shared" si="21"/>
        <v>44808.069444444445</v>
      </c>
      <c r="R460" s="12">
        <f t="shared" si="22"/>
        <v>44808.097222222219</v>
      </c>
      <c r="S460" s="13">
        <f t="shared" si="23"/>
        <v>2.7777777773735579E-2</v>
      </c>
    </row>
    <row r="461" spans="1:19" x14ac:dyDescent="0.2">
      <c r="A461" t="s">
        <v>1240</v>
      </c>
      <c r="B461" t="s">
        <v>1241</v>
      </c>
      <c r="C461" t="s">
        <v>3</v>
      </c>
      <c r="E461" s="11" t="s">
        <v>1268</v>
      </c>
      <c r="F461" s="5">
        <v>44833</v>
      </c>
      <c r="G461" t="s">
        <v>1225</v>
      </c>
      <c r="H461" t="s">
        <v>5</v>
      </c>
      <c r="I461" s="5">
        <v>44832</v>
      </c>
      <c r="J461" s="5">
        <v>44809</v>
      </c>
      <c r="K461" s="6">
        <v>0.79166666666666996</v>
      </c>
      <c r="L461" s="5">
        <v>44809</v>
      </c>
      <c r="M461" s="6">
        <v>0.81944444444443998</v>
      </c>
      <c r="N461" s="5">
        <v>44833</v>
      </c>
      <c r="Q461" s="12">
        <f t="shared" si="21"/>
        <v>44809.791666666664</v>
      </c>
      <c r="R461" s="12">
        <f t="shared" si="22"/>
        <v>44809.819444444445</v>
      </c>
      <c r="S461" s="13">
        <f t="shared" si="23"/>
        <v>2.7777777781011537E-2</v>
      </c>
    </row>
    <row r="462" spans="1:19" hidden="1" x14ac:dyDescent="0.2">
      <c r="A462" t="s">
        <v>1242</v>
      </c>
      <c r="B462" t="s">
        <v>1243</v>
      </c>
      <c r="C462" t="s">
        <v>3</v>
      </c>
      <c r="F462" s="5">
        <v>44834</v>
      </c>
      <c r="G462" t="s">
        <v>1244</v>
      </c>
      <c r="H462" t="s">
        <v>15</v>
      </c>
      <c r="I462" s="5">
        <v>44833</v>
      </c>
      <c r="J462" s="5">
        <v>44807</v>
      </c>
      <c r="K462" s="6">
        <v>0.45833333333332998</v>
      </c>
      <c r="L462" s="5">
        <v>44807</v>
      </c>
      <c r="M462" s="6">
        <v>0.5</v>
      </c>
      <c r="N462" s="5">
        <v>44834</v>
      </c>
      <c r="Q462" s="12">
        <f t="shared" si="21"/>
        <v>44807.458333333336</v>
      </c>
      <c r="R462" s="12">
        <f t="shared" si="22"/>
        <v>44807.5</v>
      </c>
      <c r="S462" s="13">
        <f t="shared" si="23"/>
        <v>4.1666666664241347E-2</v>
      </c>
    </row>
    <row r="463" spans="1:19" hidden="1" x14ac:dyDescent="0.2">
      <c r="A463" t="s">
        <v>1245</v>
      </c>
      <c r="B463" t="s">
        <v>1246</v>
      </c>
      <c r="C463" t="s">
        <v>3</v>
      </c>
      <c r="F463" s="5">
        <v>44838</v>
      </c>
      <c r="G463" t="s">
        <v>1247</v>
      </c>
      <c r="H463" t="s">
        <v>5</v>
      </c>
      <c r="I463" s="5">
        <v>44837</v>
      </c>
      <c r="J463" s="5">
        <v>44819</v>
      </c>
      <c r="K463" s="6">
        <v>0.38194444444443998</v>
      </c>
      <c r="L463" s="5">
        <v>44819</v>
      </c>
      <c r="M463" s="6">
        <v>0.42361111111110999</v>
      </c>
      <c r="N463" s="5">
        <v>44838</v>
      </c>
      <c r="Q463" s="12">
        <f t="shared" si="21"/>
        <v>44819.381944444445</v>
      </c>
      <c r="R463" s="12">
        <f t="shared" si="22"/>
        <v>44819.423611111109</v>
      </c>
      <c r="S463" s="13">
        <f t="shared" si="23"/>
        <v>4.1666666664241347E-2</v>
      </c>
    </row>
    <row r="464" spans="1:19" hidden="1" x14ac:dyDescent="0.2">
      <c r="A464" t="s">
        <v>1248</v>
      </c>
      <c r="B464" t="s">
        <v>1249</v>
      </c>
      <c r="C464" t="s">
        <v>3</v>
      </c>
      <c r="F464" s="5">
        <v>44839</v>
      </c>
      <c r="G464" t="s">
        <v>1250</v>
      </c>
      <c r="H464" t="s">
        <v>15</v>
      </c>
      <c r="I464" s="5">
        <v>44834</v>
      </c>
      <c r="J464" s="5"/>
      <c r="K464" s="6">
        <v>0</v>
      </c>
      <c r="L464" s="5"/>
      <c r="M464" s="6">
        <v>0</v>
      </c>
      <c r="N464" s="5">
        <v>44839</v>
      </c>
      <c r="Q464" s="12">
        <f t="shared" si="21"/>
        <v>0</v>
      </c>
      <c r="R464" s="12">
        <f t="shared" si="22"/>
        <v>0</v>
      </c>
      <c r="S464" s="13">
        <f t="shared" si="23"/>
        <v>0</v>
      </c>
    </row>
    <row r="465" spans="1:19" hidden="1" x14ac:dyDescent="0.2">
      <c r="A465" t="s">
        <v>1251</v>
      </c>
      <c r="B465" t="s">
        <v>1252</v>
      </c>
      <c r="C465" t="s">
        <v>3</v>
      </c>
      <c r="F465" s="5">
        <v>44848</v>
      </c>
      <c r="G465" t="s">
        <v>1253</v>
      </c>
      <c r="H465" t="s">
        <v>15</v>
      </c>
      <c r="I465" s="5">
        <v>44847</v>
      </c>
      <c r="J465" s="5">
        <v>44835</v>
      </c>
      <c r="K465" s="6">
        <v>0.33333333333332998</v>
      </c>
      <c r="L465" s="5">
        <v>44835</v>
      </c>
      <c r="M465" s="6">
        <v>0.375</v>
      </c>
      <c r="N465" s="5">
        <v>44848</v>
      </c>
      <c r="Q465" s="12">
        <f t="shared" si="21"/>
        <v>44835.333333333336</v>
      </c>
      <c r="R465" s="12">
        <f t="shared" si="22"/>
        <v>44835.375</v>
      </c>
      <c r="S465" s="13">
        <f t="shared" si="23"/>
        <v>4.1666666664241347E-2</v>
      </c>
    </row>
  </sheetData>
  <autoFilter ref="D1:E465" xr:uid="{00000000-0001-0000-0000-000000000000}">
    <filterColumn colId="1">
      <customFilters>
        <customFilter operator="notEqual" val=" "/>
      </customFilters>
    </filterColumn>
  </autoFilter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Dario</cp:lastModifiedBy>
  <cp:revision>1</cp:revision>
  <dcterms:modified xsi:type="dcterms:W3CDTF">2022-11-20T13:33:24Z</dcterms:modified>
  <cp:category/>
</cp:coreProperties>
</file>